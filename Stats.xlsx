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b45b1c4bb17244/ARCE/Code_Project/Senior-Project-Code/"/>
    </mc:Choice>
  </mc:AlternateContent>
  <xr:revisionPtr revIDLastSave="232" documentId="13_ncr:1_{03D5E261-7105-FB43-B709-E120BAE8085F}" xr6:coauthVersionLast="47" xr6:coauthVersionMax="47" xr10:uidLastSave="{29370073-B6F4-44D0-B5D6-B99ACC50E80F}"/>
  <bookViews>
    <workbookView xWindow="-108" yWindow="-108" windowWidth="23256" windowHeight="12456" activeTab="4" xr2:uid="{D4ADAE51-B09C-407E-8FCD-E420C17C7471}"/>
  </bookViews>
  <sheets>
    <sheet name="Masonry" sheetId="1" r:id="rId1"/>
    <sheet name="Timber" sheetId="2" r:id="rId2"/>
    <sheet name="Concrete" sheetId="3" r:id="rId3"/>
    <sheet name="Other" sheetId="4" r:id="rId4"/>
    <sheet name="Teste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1" i="3"/>
  <c r="B8" i="3"/>
  <c r="C14" i="3"/>
  <c r="C11" i="3"/>
  <c r="C8" i="3"/>
</calcChain>
</file>

<file path=xl/sharedStrings.xml><?xml version="1.0" encoding="utf-8"?>
<sst xmlns="http://schemas.openxmlformats.org/spreadsheetml/2006/main" count="186" uniqueCount="125">
  <si>
    <t>Masonry lintel/beam Analysis</t>
  </si>
  <si>
    <t>Masonry lintel/beam Desgin</t>
  </si>
  <si>
    <t>time spent coding (hr)</t>
  </si>
  <si>
    <t>time debugging (hr)</t>
  </si>
  <si>
    <t>time making tables (hr)</t>
  </si>
  <si>
    <t>basicly none</t>
  </si>
  <si>
    <t>from previous</t>
  </si>
  <si>
    <t>times spyder randomly updated</t>
  </si>
  <si>
    <t>Hand Calc 1 time (hrs)</t>
  </si>
  <si>
    <t>Hand Calc 1 mistakes</t>
  </si>
  <si>
    <t>Calc 1 code time (mins)</t>
  </si>
  <si>
    <t>1 min for code 5 total to transfer</t>
  </si>
  <si>
    <t>Hand Calc 2 time (hrs)</t>
  </si>
  <si>
    <t>Hand Calc 2 mistakes</t>
  </si>
  <si>
    <t>Calc 2 code time (mins)</t>
  </si>
  <si>
    <t>0.5 min for code 3 total to transfer</t>
  </si>
  <si>
    <t>Hand Calc 3 mistakes</t>
  </si>
  <si>
    <t>ChatGPT help 1</t>
  </si>
  <si>
    <t>Is splitting a string into integers based on x and if no x preventing it from breaking</t>
  </si>
  <si>
    <t>It taught me continuous which stops the rest of the while loop from running and resets it to the start to keep it running</t>
  </si>
  <si>
    <t>ChatGPT help 2</t>
  </si>
  <si>
    <t>Is reading a Excel file and pulling the value from the table that corrisponds to the desired value and if not in file prevent it breaking the code.</t>
  </si>
  <si>
    <t>ChatGPT help 3</t>
  </si>
  <si>
    <t>It ends the whole code when one of the trackers that prevent the code from running is triggered.</t>
  </si>
  <si>
    <t>You need to let Spyder show over 2000 lines of print to see the whole output</t>
  </si>
  <si>
    <t>Wood Adj Values</t>
  </si>
  <si>
    <t>Wood Beam Analysis</t>
  </si>
  <si>
    <t>30 seconds to run 1 total to transfer</t>
  </si>
  <si>
    <t>50 seconds to run 1:25 total to transfer</t>
  </si>
  <si>
    <t>Asked it how to sort an already sorted file based on a second value. Ansewr just redo what we first did but off of the first sort</t>
  </si>
  <si>
    <t>Concrete Beams Singlely Reinforced 1 layer</t>
  </si>
  <si>
    <t>Concrete Beams Singlely Reinforced 2 layer</t>
  </si>
  <si>
    <t>Notes</t>
  </si>
  <si>
    <t>Need to double check that all logic is right, especially the strains</t>
  </si>
  <si>
    <t xml:space="preserve">Concrete Beams Doubly Reinforced </t>
  </si>
  <si>
    <t>Concrete Beams T or L</t>
  </si>
  <si>
    <t>Concrete Beams Shear</t>
  </si>
  <si>
    <t>Concrete Beams Deflection</t>
  </si>
  <si>
    <t>might need to add a question for if flat roof since different equation for allowable deflection</t>
  </si>
  <si>
    <t>Some reason the sys.exit() prints more don’t know why</t>
  </si>
  <si>
    <t>Desgin Concrete Beams Known Dimensions</t>
  </si>
  <si>
    <t>Currently only Flexure still needs deflection and shear</t>
  </si>
  <si>
    <t>Logic check required</t>
  </si>
  <si>
    <t>Ali</t>
  </si>
  <si>
    <t>1hr 40 min</t>
  </si>
  <si>
    <t>Programming and research session 1</t>
  </si>
  <si>
    <t xml:space="preserve">Added tables for mortar strength, started column design file </t>
  </si>
  <si>
    <t>Session 2</t>
  </si>
  <si>
    <t>2hrs</t>
  </si>
  <si>
    <t>Started developping PM interaction code for Column Design</t>
  </si>
  <si>
    <t>april 1st</t>
  </si>
  <si>
    <t>2 hrs</t>
  </si>
  <si>
    <t>Completed Pn and Mn calcs for masonry + further masonry code</t>
  </si>
  <si>
    <t>Shear and Moment Class</t>
  </si>
  <si>
    <t>Point load needs a fix where it is both positive and negative, currently broken</t>
  </si>
  <si>
    <t>Need to add a line at height 0 to orientate the beam</t>
  </si>
  <si>
    <t>Desgin Concrete Beams unKnown Dimensions</t>
  </si>
  <si>
    <t>Seperating into single files</t>
  </si>
  <si>
    <t>Possibly Multi input is causing the problem</t>
  </si>
  <si>
    <t>Fixing UI</t>
  </si>
  <si>
    <t>Need to fix deflection calcs</t>
  </si>
  <si>
    <t>making the desgins work together</t>
  </si>
  <si>
    <t>Calc 3 code time (mins)</t>
  </si>
  <si>
    <t>Math run Notes</t>
  </si>
  <si>
    <t>As was having infinte decimal so had to use round to fix</t>
  </si>
  <si>
    <t>Notes while coding</t>
  </si>
  <si>
    <t>Masonry Knowledge</t>
  </si>
  <si>
    <t>Cocncrete Knowledge</t>
  </si>
  <si>
    <t>Major</t>
  </si>
  <si>
    <t>Year</t>
  </si>
  <si>
    <t>Rateing for Masonry</t>
  </si>
  <si>
    <t>Rateing for Concrete</t>
  </si>
  <si>
    <t>Notes for Masonry</t>
  </si>
  <si>
    <t>Notes for Concrete</t>
  </si>
  <si>
    <t>Name</t>
  </si>
  <si>
    <t>Nathan Maldonado</t>
  </si>
  <si>
    <t>None</t>
  </si>
  <si>
    <t>ARCE</t>
  </si>
  <si>
    <t>3rd</t>
  </si>
  <si>
    <t>absolutely loved the notes that guided me to input the data</t>
  </si>
  <si>
    <t>Super fancy with Uis, didn’t know that can be done with sypder, blew my mind!</t>
  </si>
  <si>
    <t>My Notes:</t>
  </si>
  <si>
    <t>In concrete problem with d if order of d's out of order, speeling mistake in questions.</t>
  </si>
  <si>
    <t>Clark Stafford</t>
  </si>
  <si>
    <t>none</t>
  </si>
  <si>
    <t>clear places to input, easily understandable output</t>
  </si>
  <si>
    <t>big button good for sausage fingers</t>
  </si>
  <si>
    <t>If no Knowledge have run design instead. CMU vertical bar size has no limit used size 65 and ran into no error</t>
  </si>
  <si>
    <t>Joseph Perez</t>
  </si>
  <si>
    <t>Yes</t>
  </si>
  <si>
    <t>yes</t>
  </si>
  <si>
    <t>5th</t>
  </si>
  <si>
    <t>Great, output a little crunched</t>
  </si>
  <si>
    <t>Works with great interface, a couple spelling mishaps</t>
  </si>
  <si>
    <t>Check how 0 time factor actually plays out.</t>
  </si>
  <si>
    <t>Banya Walker</t>
  </si>
  <si>
    <t>4th</t>
  </si>
  <si>
    <t>Really like the ease of inputs, picture would be amazing</t>
  </si>
  <si>
    <t>Output could use more legibility and formatting</t>
  </si>
  <si>
    <t>Daniel Herrera</t>
  </si>
  <si>
    <t>2nd</t>
  </si>
  <si>
    <t>incredible way to speed run calcs, but output could be more organized</t>
  </si>
  <si>
    <t>add output for non compatible beams/rebars - instead of error, overall organized and clear</t>
  </si>
  <si>
    <t>Aran Badasian</t>
  </si>
  <si>
    <t>BEAUTIFUL I SEE THE  VISION KEEP GOING!</t>
  </si>
  <si>
    <t>Excellent baseline, continued work will make this a competitive software</t>
  </si>
  <si>
    <t>Nothing</t>
  </si>
  <si>
    <t>Concrte deflectio problem might be a messed up if statement for if beam has compressive steel.</t>
  </si>
  <si>
    <t>Milan Chhetri</t>
  </si>
  <si>
    <t>EE</t>
  </si>
  <si>
    <t>This is awesome</t>
  </si>
  <si>
    <t>Good calculations</t>
  </si>
  <si>
    <t>Hand Calc 1 time (mins)</t>
  </si>
  <si>
    <t>Hand Calc 2 time (mins)</t>
  </si>
  <si>
    <t>Hand Calc 3 time (mins)</t>
  </si>
  <si>
    <t>Juliana Pantoja</t>
  </si>
  <si>
    <t>Everything looks good</t>
  </si>
  <si>
    <t>Change the note to be before the instruction to answer the pop up questions</t>
  </si>
  <si>
    <t>Fix order of instructions</t>
  </si>
  <si>
    <t>Tain Lawson</t>
  </si>
  <si>
    <t xml:space="preserve">I would clarify the loading, perhaps by adding a "loading" section while keeping beam weigth + wall above as a surface area X depth calcualtion. You could have a seprate section that has "applied uniform loads" " Applied Point Loads" and " applied parital uniform loads" type of thing. </t>
  </si>
  <si>
    <t>Check Mu and Mcr limits for code.</t>
  </si>
  <si>
    <t>Looked through what np has to offer and found append: which combines two arrays together. Sort: which sorts the elements in an array from least to largest. Unique: which removes any duplicate numbers.</t>
  </si>
  <si>
    <t>Above note will be used to fix problems with the overlap of point loads.</t>
  </si>
  <si>
    <t>The display is nice, I would include a simple nicely formated summary at the end with beam sizes, demand and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</si>
</sst>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18AE-DEA8-4C1F-8212-87D46148B750}">
  <dimension ref="A1:D29"/>
  <sheetViews>
    <sheetView workbookViewId="0">
      <selection activeCell="C12" sqref="C12"/>
    </sheetView>
  </sheetViews>
  <sheetFormatPr defaultColWidth="8.77734375" defaultRowHeight="14.4" x14ac:dyDescent="0.3"/>
  <cols>
    <col min="1" max="1" width="20.44140625" customWidth="1"/>
    <col min="2" max="2" width="21.77734375" customWidth="1"/>
    <col min="3" max="3" width="107.44140625" customWidth="1"/>
  </cols>
  <sheetData>
    <row r="1" spans="1:4" ht="30" customHeight="1" x14ac:dyDescent="0.3">
      <c r="A1" s="2"/>
      <c r="B1" s="2" t="s">
        <v>0</v>
      </c>
      <c r="C1" s="2"/>
      <c r="D1" s="3" t="s">
        <v>1</v>
      </c>
    </row>
    <row r="2" spans="1:4" s="1" customFormat="1" ht="21.45" customHeight="1" x14ac:dyDescent="0.3">
      <c r="A2" s="4" t="s">
        <v>2</v>
      </c>
      <c r="B2" s="5">
        <v>12</v>
      </c>
      <c r="C2" s="4"/>
      <c r="D2" s="5">
        <v>3</v>
      </c>
    </row>
    <row r="3" spans="1:4" s="1" customFormat="1" x14ac:dyDescent="0.3">
      <c r="A3" s="4" t="s">
        <v>3</v>
      </c>
      <c r="B3" s="5">
        <v>3</v>
      </c>
      <c r="C3" s="4"/>
      <c r="D3" s="5">
        <v>1.5</v>
      </c>
    </row>
    <row r="4" spans="1:4" s="1" customFormat="1" ht="26.4" x14ac:dyDescent="0.3">
      <c r="A4" s="4" t="s">
        <v>4</v>
      </c>
      <c r="B4" s="4" t="s">
        <v>5</v>
      </c>
      <c r="C4" s="4"/>
      <c r="D4" s="4" t="s">
        <v>6</v>
      </c>
    </row>
    <row r="5" spans="1:4" s="1" customFormat="1" ht="26.4" x14ac:dyDescent="0.3">
      <c r="A5" s="4" t="s">
        <v>7</v>
      </c>
      <c r="B5" s="5">
        <v>1</v>
      </c>
      <c r="C5" s="4"/>
      <c r="D5" s="5">
        <v>0</v>
      </c>
    </row>
    <row r="6" spans="1:4" s="1" customFormat="1" ht="26.4" x14ac:dyDescent="0.3">
      <c r="A6" s="4" t="s">
        <v>112</v>
      </c>
      <c r="B6" s="5">
        <v>90</v>
      </c>
      <c r="C6" s="4"/>
      <c r="D6" s="4"/>
    </row>
    <row r="7" spans="1:4" s="1" customFormat="1" x14ac:dyDescent="0.3">
      <c r="A7" s="4" t="s">
        <v>9</v>
      </c>
      <c r="B7" s="5">
        <v>3</v>
      </c>
      <c r="C7" s="4"/>
      <c r="D7" s="4"/>
    </row>
    <row r="8" spans="1:4" s="1" customFormat="1" ht="26.4" x14ac:dyDescent="0.3">
      <c r="A8" s="4" t="s">
        <v>10</v>
      </c>
      <c r="B8" s="4" t="s">
        <v>11</v>
      </c>
      <c r="C8" s="4"/>
      <c r="D8" s="4"/>
    </row>
    <row r="9" spans="1:4" s="1" customFormat="1" ht="26.4" x14ac:dyDescent="0.3">
      <c r="A9" s="4" t="s">
        <v>113</v>
      </c>
      <c r="B9" s="5">
        <v>45</v>
      </c>
      <c r="C9" s="4"/>
      <c r="D9" s="4"/>
    </row>
    <row r="10" spans="1:4" s="1" customFormat="1" x14ac:dyDescent="0.3">
      <c r="A10" s="4" t="s">
        <v>13</v>
      </c>
      <c r="B10" s="5">
        <v>3</v>
      </c>
      <c r="C10" s="4"/>
      <c r="D10" s="4"/>
    </row>
    <row r="11" spans="1:4" s="1" customFormat="1" ht="26.4" x14ac:dyDescent="0.3">
      <c r="A11" s="4" t="s">
        <v>14</v>
      </c>
      <c r="B11" s="4" t="s">
        <v>15</v>
      </c>
      <c r="C11" s="4"/>
      <c r="D11" s="4"/>
    </row>
    <row r="12" spans="1:4" s="1" customFormat="1" ht="26.4" x14ac:dyDescent="0.3">
      <c r="A12" s="4" t="s">
        <v>114</v>
      </c>
      <c r="B12" s="5">
        <v>45</v>
      </c>
      <c r="C12" s="4"/>
      <c r="D12" s="4"/>
    </row>
    <row r="13" spans="1:4" s="1" customFormat="1" x14ac:dyDescent="0.3">
      <c r="A13" s="4" t="s">
        <v>16</v>
      </c>
      <c r="B13" s="5">
        <v>6</v>
      </c>
      <c r="C13" s="4"/>
      <c r="D13" s="4"/>
    </row>
    <row r="14" spans="1:4" s="1" customFormat="1" ht="26.4" x14ac:dyDescent="0.3">
      <c r="A14" s="4" t="s">
        <v>14</v>
      </c>
      <c r="B14" s="4" t="s">
        <v>15</v>
      </c>
      <c r="C14" s="4"/>
      <c r="D14" s="4"/>
    </row>
    <row r="15" spans="1:4" s="1" customFormat="1" x14ac:dyDescent="0.3">
      <c r="A15" s="4"/>
      <c r="B15" s="4"/>
      <c r="C15" s="4"/>
      <c r="D15" s="4"/>
    </row>
    <row r="16" spans="1:4" s="1" customFormat="1" x14ac:dyDescent="0.3">
      <c r="A16" s="4"/>
      <c r="B16" s="4"/>
      <c r="C16" s="4"/>
      <c r="D16" s="4"/>
    </row>
    <row r="17" spans="1:4" s="1" customFormat="1" x14ac:dyDescent="0.3">
      <c r="A17" s="4"/>
      <c r="B17" s="4"/>
      <c r="C17" s="4"/>
      <c r="D17" s="4"/>
    </row>
    <row r="18" spans="1:4" s="1" customFormat="1" x14ac:dyDescent="0.3">
      <c r="A18" s="4"/>
      <c r="B18" s="4"/>
      <c r="C18" s="4"/>
      <c r="D18" s="4"/>
    </row>
    <row r="19" spans="1:4" s="1" customFormat="1" x14ac:dyDescent="0.3">
      <c r="A19" s="4"/>
      <c r="B19" s="4"/>
      <c r="C19" s="4"/>
      <c r="D19" s="4"/>
    </row>
    <row r="20" spans="1:4" s="1" customFormat="1" x14ac:dyDescent="0.3">
      <c r="A20" s="4"/>
      <c r="B20" s="6"/>
      <c r="C20" s="4"/>
      <c r="D20" s="4"/>
    </row>
    <row r="21" spans="1:4" s="1" customFormat="1" x14ac:dyDescent="0.3">
      <c r="A21" s="4" t="s">
        <v>17</v>
      </c>
      <c r="B21" s="6" t="s">
        <v>18</v>
      </c>
      <c r="C21" s="4"/>
      <c r="D21" s="6" t="s">
        <v>19</v>
      </c>
    </row>
    <row r="22" spans="1:4" s="1" customFormat="1" x14ac:dyDescent="0.3">
      <c r="A22" s="4" t="s">
        <v>20</v>
      </c>
      <c r="B22" s="6" t="s">
        <v>21</v>
      </c>
      <c r="C22" s="4"/>
      <c r="D22" s="4"/>
    </row>
    <row r="23" spans="1:4" s="1" customFormat="1" x14ac:dyDescent="0.3">
      <c r="A23" s="4" t="s">
        <v>22</v>
      </c>
      <c r="B23" s="6" t="s">
        <v>23</v>
      </c>
      <c r="C23" s="4"/>
      <c r="D23" s="4"/>
    </row>
    <row r="24" spans="1:4" x14ac:dyDescent="0.3">
      <c r="A24" s="2"/>
      <c r="B24" s="2"/>
      <c r="C24" s="2"/>
      <c r="D24" s="3" t="s">
        <v>24</v>
      </c>
    </row>
    <row r="25" spans="1:4" x14ac:dyDescent="0.3">
      <c r="A25" s="2"/>
      <c r="B25" s="2"/>
      <c r="C25" s="2"/>
      <c r="D25" s="2"/>
    </row>
    <row r="26" spans="1:4" x14ac:dyDescent="0.3">
      <c r="A26" s="2" t="s">
        <v>43</v>
      </c>
      <c r="B26" s="2"/>
      <c r="C26" s="2"/>
      <c r="D26" s="2"/>
    </row>
    <row r="27" spans="1:4" ht="27" x14ac:dyDescent="0.3">
      <c r="A27" s="2" t="s">
        <v>45</v>
      </c>
      <c r="B27" t="s">
        <v>44</v>
      </c>
      <c r="C27" t="s">
        <v>46</v>
      </c>
    </row>
    <row r="28" spans="1:4" x14ac:dyDescent="0.3">
      <c r="A28" s="2" t="s">
        <v>47</v>
      </c>
      <c r="B28" t="s">
        <v>48</v>
      </c>
      <c r="C28" t="s">
        <v>49</v>
      </c>
    </row>
    <row r="29" spans="1:4" x14ac:dyDescent="0.3">
      <c r="A29" s="2" t="s">
        <v>50</v>
      </c>
      <c r="B29" t="s">
        <v>51</v>
      </c>
      <c r="C2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3DE1-7AFB-4EBE-B969-1754C2BEFA61}">
  <dimension ref="A1:D21"/>
  <sheetViews>
    <sheetView workbookViewId="0">
      <selection activeCell="D2" sqref="D2"/>
    </sheetView>
  </sheetViews>
  <sheetFormatPr defaultColWidth="8.77734375" defaultRowHeight="14.4" x14ac:dyDescent="0.3"/>
  <cols>
    <col min="1" max="1" width="27.6640625" customWidth="1"/>
    <col min="2" max="2" width="33.33203125" customWidth="1"/>
    <col min="3" max="3" width="75" customWidth="1"/>
    <col min="4" max="4" width="21.44140625" customWidth="1"/>
  </cols>
  <sheetData>
    <row r="1" spans="1:4" x14ac:dyDescent="0.3">
      <c r="A1" s="4"/>
      <c r="B1" s="4" t="s">
        <v>25</v>
      </c>
      <c r="C1" s="4"/>
      <c r="D1" s="4" t="s">
        <v>26</v>
      </c>
    </row>
    <row r="2" spans="1:4" x14ac:dyDescent="0.3">
      <c r="A2" s="4" t="s">
        <v>2</v>
      </c>
      <c r="B2" s="5">
        <v>10.5</v>
      </c>
      <c r="C2" s="4"/>
      <c r="D2" s="5">
        <v>2.5</v>
      </c>
    </row>
    <row r="3" spans="1:4" x14ac:dyDescent="0.3">
      <c r="A3" s="4" t="s">
        <v>3</v>
      </c>
      <c r="B3" s="5">
        <v>1</v>
      </c>
      <c r="C3" s="4"/>
      <c r="D3" s="4"/>
    </row>
    <row r="4" spans="1:4" x14ac:dyDescent="0.3">
      <c r="A4" s="4" t="s">
        <v>4</v>
      </c>
      <c r="B4" s="5">
        <v>9.5</v>
      </c>
      <c r="C4" s="4"/>
      <c r="D4" s="4"/>
    </row>
    <row r="5" spans="1:4" x14ac:dyDescent="0.3">
      <c r="A5" s="4" t="s">
        <v>7</v>
      </c>
      <c r="B5" s="5">
        <v>0</v>
      </c>
      <c r="C5" s="4"/>
      <c r="D5" s="4"/>
    </row>
    <row r="6" spans="1:4" x14ac:dyDescent="0.3">
      <c r="A6" s="4" t="s">
        <v>8</v>
      </c>
      <c r="B6" s="5">
        <v>0.17</v>
      </c>
      <c r="C6" s="4"/>
      <c r="D6" s="4"/>
    </row>
    <row r="7" spans="1:4" x14ac:dyDescent="0.3">
      <c r="A7" s="4" t="s">
        <v>9</v>
      </c>
      <c r="B7" s="5">
        <v>3</v>
      </c>
      <c r="C7" s="4"/>
      <c r="D7" s="4"/>
    </row>
    <row r="8" spans="1:4" x14ac:dyDescent="0.3">
      <c r="A8" s="4" t="s">
        <v>10</v>
      </c>
      <c r="B8" s="4" t="s">
        <v>27</v>
      </c>
      <c r="C8" s="4"/>
      <c r="D8" s="4"/>
    </row>
    <row r="9" spans="1:4" x14ac:dyDescent="0.3">
      <c r="A9" s="4" t="s">
        <v>12</v>
      </c>
      <c r="B9" s="5">
        <v>0.57999999999999996</v>
      </c>
      <c r="C9" s="4"/>
      <c r="D9" s="4"/>
    </row>
    <row r="10" spans="1:4" x14ac:dyDescent="0.3">
      <c r="A10" s="4" t="s">
        <v>13</v>
      </c>
      <c r="B10" s="5">
        <v>5</v>
      </c>
      <c r="C10" s="4"/>
      <c r="D10" s="4"/>
    </row>
    <row r="11" spans="1:4" x14ac:dyDescent="0.3">
      <c r="A11" s="4" t="s">
        <v>14</v>
      </c>
      <c r="B11" s="4" t="s">
        <v>28</v>
      </c>
      <c r="C11" s="4"/>
      <c r="D11" s="4"/>
    </row>
    <row r="12" spans="1:4" x14ac:dyDescent="0.3">
      <c r="A12" s="1"/>
      <c r="B12" s="4"/>
      <c r="C12" s="4"/>
      <c r="D12" s="4"/>
    </row>
    <row r="13" spans="1:4" x14ac:dyDescent="0.3">
      <c r="A13" s="1"/>
      <c r="B13" s="4"/>
      <c r="C13" s="4"/>
      <c r="D13" s="4"/>
    </row>
    <row r="14" spans="1:4" x14ac:dyDescent="0.3">
      <c r="A14" s="1"/>
      <c r="B14" s="4"/>
      <c r="C14" s="4"/>
      <c r="D14" s="4"/>
    </row>
    <row r="15" spans="1:4" x14ac:dyDescent="0.3">
      <c r="A15" s="1"/>
      <c r="B15" s="4"/>
      <c r="C15" s="4"/>
      <c r="D15" s="4"/>
    </row>
    <row r="16" spans="1:4" x14ac:dyDescent="0.3">
      <c r="A16" s="1"/>
      <c r="B16" s="4"/>
      <c r="C16" s="4"/>
      <c r="D16" s="4"/>
    </row>
    <row r="17" spans="1:4" x14ac:dyDescent="0.3">
      <c r="A17" s="1"/>
      <c r="B17" s="4"/>
      <c r="C17" s="4"/>
      <c r="D17" s="4"/>
    </row>
    <row r="18" spans="1:4" x14ac:dyDescent="0.3">
      <c r="A18" s="1"/>
      <c r="B18" s="4"/>
      <c r="C18" s="4"/>
      <c r="D18" s="4"/>
    </row>
    <row r="19" spans="1:4" x14ac:dyDescent="0.3">
      <c r="A19" s="1"/>
      <c r="B19" s="4"/>
      <c r="C19" s="4"/>
      <c r="D19" s="4"/>
    </row>
    <row r="20" spans="1:4" x14ac:dyDescent="0.3">
      <c r="A20" s="1"/>
      <c r="B20" s="4"/>
      <c r="C20" s="4"/>
      <c r="D20" s="4"/>
    </row>
    <row r="21" spans="1:4" x14ac:dyDescent="0.3">
      <c r="A21" s="4" t="s">
        <v>17</v>
      </c>
      <c r="B21" s="6" t="s">
        <v>29</v>
      </c>
      <c r="C21" s="4"/>
      <c r="D2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9580-F39B-450E-8581-0BC34D974670}">
  <dimension ref="A1:M19"/>
  <sheetViews>
    <sheetView workbookViewId="0">
      <selection activeCell="C10" sqref="C10"/>
    </sheetView>
  </sheetViews>
  <sheetFormatPr defaultColWidth="8.77734375" defaultRowHeight="14.4" x14ac:dyDescent="0.3"/>
  <cols>
    <col min="1" max="1" width="21.6640625" customWidth="1"/>
    <col min="2" max="2" width="24.44140625" customWidth="1"/>
    <col min="3" max="3" width="44.109375" customWidth="1"/>
    <col min="4" max="4" width="51.44140625" customWidth="1"/>
    <col min="5" max="5" width="14.77734375" customWidth="1"/>
    <col min="6" max="6" width="15.33203125" customWidth="1"/>
    <col min="7" max="7" width="72.109375" customWidth="1"/>
    <col min="8" max="8" width="51" customWidth="1"/>
    <col min="9" max="9" width="27.77734375" customWidth="1"/>
    <col min="10" max="10" width="33.88671875" customWidth="1"/>
    <col min="11" max="11" width="17.109375" customWidth="1"/>
  </cols>
  <sheetData>
    <row r="1" spans="1:13" ht="32.549999999999997" customHeight="1" x14ac:dyDescent="0.3">
      <c r="A1" s="4"/>
      <c r="B1" s="4" t="s">
        <v>30</v>
      </c>
      <c r="C1" s="4" t="s">
        <v>31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40</v>
      </c>
      <c r="I1" s="4" t="s">
        <v>56</v>
      </c>
      <c r="J1" s="4" t="s">
        <v>57</v>
      </c>
      <c r="K1" s="4" t="s">
        <v>61</v>
      </c>
      <c r="L1" s="4"/>
      <c r="M1" s="4"/>
    </row>
    <row r="2" spans="1:13" ht="16.8" customHeight="1" x14ac:dyDescent="0.3">
      <c r="A2" s="4" t="s">
        <v>2</v>
      </c>
      <c r="B2" s="5">
        <v>2.5</v>
      </c>
      <c r="C2" s="1">
        <v>1</v>
      </c>
      <c r="D2">
        <v>3</v>
      </c>
      <c r="E2">
        <v>1</v>
      </c>
      <c r="F2">
        <v>2.5</v>
      </c>
      <c r="G2">
        <v>3.5</v>
      </c>
      <c r="H2">
        <v>11.75</v>
      </c>
      <c r="I2">
        <v>1.5</v>
      </c>
      <c r="J2">
        <v>0.5</v>
      </c>
    </row>
    <row r="3" spans="1:13" ht="16.2" customHeight="1" x14ac:dyDescent="0.3">
      <c r="A3" s="4" t="s">
        <v>3</v>
      </c>
      <c r="B3" s="4"/>
      <c r="C3" s="1"/>
      <c r="F3">
        <v>0.5</v>
      </c>
      <c r="H3">
        <v>2.5</v>
      </c>
      <c r="K3">
        <v>5.5</v>
      </c>
    </row>
    <row r="4" spans="1:13" ht="18" customHeight="1" x14ac:dyDescent="0.3">
      <c r="A4" s="4" t="s">
        <v>4</v>
      </c>
      <c r="B4" s="4"/>
      <c r="C4" s="1"/>
    </row>
    <row r="5" spans="1:13" ht="29.55" customHeight="1" x14ac:dyDescent="0.3">
      <c r="A5" s="4" t="s">
        <v>7</v>
      </c>
      <c r="B5" s="4"/>
      <c r="C5" s="1"/>
    </row>
    <row r="6" spans="1:13" ht="18" customHeight="1" x14ac:dyDescent="0.3">
      <c r="A6" s="4" t="s">
        <v>112</v>
      </c>
      <c r="B6" s="4">
        <v>30</v>
      </c>
      <c r="C6" s="4">
        <v>30</v>
      </c>
    </row>
    <row r="7" spans="1:13" ht="18" customHeight="1" x14ac:dyDescent="0.3">
      <c r="A7" s="4" t="s">
        <v>9</v>
      </c>
      <c r="B7" s="4">
        <v>3</v>
      </c>
      <c r="C7" s="4">
        <v>3</v>
      </c>
    </row>
    <row r="8" spans="1:13" ht="29.55" customHeight="1" x14ac:dyDescent="0.3">
      <c r="A8" s="4" t="s">
        <v>10</v>
      </c>
      <c r="B8" s="4">
        <f>28.48/60</f>
        <v>0.47466666666666668</v>
      </c>
      <c r="C8" s="1">
        <f>28.03/60</f>
        <v>0.46716666666666667</v>
      </c>
    </row>
    <row r="9" spans="1:13" ht="18.45" customHeight="1" x14ac:dyDescent="0.3">
      <c r="A9" s="4" t="s">
        <v>113</v>
      </c>
      <c r="B9" s="1">
        <v>30</v>
      </c>
      <c r="C9" s="1">
        <v>30</v>
      </c>
    </row>
    <row r="10" spans="1:13" ht="17.55" customHeight="1" x14ac:dyDescent="0.3">
      <c r="A10" s="4" t="s">
        <v>13</v>
      </c>
      <c r="B10" s="1">
        <v>2</v>
      </c>
      <c r="C10" s="1">
        <v>0</v>
      </c>
    </row>
    <row r="11" spans="1:13" ht="26.4" x14ac:dyDescent="0.3">
      <c r="A11" s="4" t="s">
        <v>14</v>
      </c>
      <c r="B11" s="1">
        <f>26.46/60</f>
        <v>0.441</v>
      </c>
      <c r="C11" s="1">
        <f>32.6/60</f>
        <v>0.54333333333333333</v>
      </c>
    </row>
    <row r="12" spans="1:13" x14ac:dyDescent="0.3">
      <c r="A12" s="4" t="s">
        <v>114</v>
      </c>
      <c r="B12">
        <v>20</v>
      </c>
      <c r="C12">
        <v>20</v>
      </c>
    </row>
    <row r="13" spans="1:13" x14ac:dyDescent="0.3">
      <c r="A13" s="4" t="s">
        <v>16</v>
      </c>
      <c r="B13">
        <v>1</v>
      </c>
      <c r="C13">
        <v>2</v>
      </c>
    </row>
    <row r="14" spans="1:13" ht="26.4" x14ac:dyDescent="0.3">
      <c r="A14" s="4" t="s">
        <v>62</v>
      </c>
      <c r="B14">
        <f>20.98/60</f>
        <v>0.34966666666666668</v>
      </c>
      <c r="C14">
        <f>26.25/60</f>
        <v>0.4375</v>
      </c>
    </row>
    <row r="15" spans="1:13" x14ac:dyDescent="0.3">
      <c r="A15" t="s">
        <v>65</v>
      </c>
      <c r="D15" t="s">
        <v>33</v>
      </c>
      <c r="G15" t="s">
        <v>38</v>
      </c>
      <c r="H15" t="s">
        <v>42</v>
      </c>
      <c r="J15" t="s">
        <v>58</v>
      </c>
    </row>
    <row r="16" spans="1:13" x14ac:dyDescent="0.3">
      <c r="G16" t="s">
        <v>39</v>
      </c>
      <c r="H16" t="s">
        <v>41</v>
      </c>
    </row>
    <row r="18" spans="1:8" x14ac:dyDescent="0.3">
      <c r="H18" t="s">
        <v>60</v>
      </c>
    </row>
    <row r="19" spans="1:8" x14ac:dyDescent="0.3">
      <c r="A19" t="s">
        <v>63</v>
      </c>
      <c r="C19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EEB8-C046-4557-A0F1-9E18C2D9AD96}">
  <dimension ref="A1:C19"/>
  <sheetViews>
    <sheetView workbookViewId="0">
      <selection activeCell="E3" sqref="E3"/>
    </sheetView>
  </sheetViews>
  <sheetFormatPr defaultRowHeight="14.4" x14ac:dyDescent="0.3"/>
  <cols>
    <col min="1" max="1" width="20.6640625" customWidth="1"/>
    <col min="2" max="2" width="60.5546875" customWidth="1"/>
  </cols>
  <sheetData>
    <row r="1" spans="1:3" x14ac:dyDescent="0.3">
      <c r="B1" t="s">
        <v>53</v>
      </c>
      <c r="C1" t="s">
        <v>59</v>
      </c>
    </row>
    <row r="2" spans="1:3" ht="22.2" customHeight="1" x14ac:dyDescent="0.3">
      <c r="A2" s="4" t="s">
        <v>2</v>
      </c>
      <c r="B2">
        <v>2.25</v>
      </c>
      <c r="C2">
        <v>0</v>
      </c>
    </row>
    <row r="3" spans="1:3" ht="19.8" customHeight="1" x14ac:dyDescent="0.3">
      <c r="A3" s="4" t="s">
        <v>3</v>
      </c>
      <c r="C3">
        <v>2</v>
      </c>
    </row>
    <row r="4" spans="1:3" ht="19.8" customHeight="1" x14ac:dyDescent="0.3">
      <c r="A4" s="4" t="s">
        <v>4</v>
      </c>
      <c r="B4">
        <v>0</v>
      </c>
      <c r="C4">
        <v>0</v>
      </c>
    </row>
    <row r="5" spans="1:3" ht="30.6" customHeight="1" x14ac:dyDescent="0.3">
      <c r="A5" s="4" t="s">
        <v>7</v>
      </c>
    </row>
    <row r="6" spans="1:3" ht="20.399999999999999" customHeight="1" x14ac:dyDescent="0.3">
      <c r="A6" s="4" t="s">
        <v>8</v>
      </c>
    </row>
    <row r="7" spans="1:3" ht="17.399999999999999" customHeight="1" x14ac:dyDescent="0.3">
      <c r="A7" s="4" t="s">
        <v>9</v>
      </c>
    </row>
    <row r="8" spans="1:3" ht="16.8" customHeight="1" x14ac:dyDescent="0.3">
      <c r="A8" s="4" t="s">
        <v>10</v>
      </c>
    </row>
    <row r="9" spans="1:3" ht="18.600000000000001" customHeight="1" x14ac:dyDescent="0.3">
      <c r="A9" s="4" t="s">
        <v>12</v>
      </c>
    </row>
    <row r="10" spans="1:3" ht="16.8" customHeight="1" x14ac:dyDescent="0.3">
      <c r="A10" s="4" t="s">
        <v>13</v>
      </c>
    </row>
    <row r="11" spans="1:3" ht="16.2" customHeight="1" x14ac:dyDescent="0.3">
      <c r="A11" s="4" t="s">
        <v>14</v>
      </c>
    </row>
    <row r="15" spans="1:3" x14ac:dyDescent="0.3">
      <c r="A15" t="s">
        <v>32</v>
      </c>
      <c r="B15" t="s">
        <v>54</v>
      </c>
    </row>
    <row r="16" spans="1:3" x14ac:dyDescent="0.3">
      <c r="B16" t="s">
        <v>55</v>
      </c>
    </row>
    <row r="18" spans="2:2" x14ac:dyDescent="0.3">
      <c r="B18" t="s">
        <v>122</v>
      </c>
    </row>
    <row r="19" spans="2:2" x14ac:dyDescent="0.3">
      <c r="B19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3E159-22CD-4944-B0AB-9B6794C0D9B6}">
  <dimension ref="A1:J10"/>
  <sheetViews>
    <sheetView tabSelected="1" workbookViewId="0">
      <selection activeCell="G2" sqref="G2:G10"/>
    </sheetView>
  </sheetViews>
  <sheetFormatPr defaultRowHeight="14.4" x14ac:dyDescent="0.3"/>
  <cols>
    <col min="1" max="1" width="17" customWidth="1"/>
    <col min="2" max="2" width="17.109375" customWidth="1"/>
    <col min="3" max="3" width="18.33203125" customWidth="1"/>
    <col min="6" max="6" width="17" customWidth="1"/>
    <col min="7" max="7" width="17.33203125" customWidth="1"/>
    <col min="8" max="8" width="220.21875" customWidth="1"/>
    <col min="9" max="9" width="72.109375" customWidth="1"/>
    <col min="10" max="10" width="66.5546875" customWidth="1"/>
  </cols>
  <sheetData>
    <row r="1" spans="1:10" x14ac:dyDescent="0.3">
      <c r="A1" t="s">
        <v>74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81</v>
      </c>
    </row>
    <row r="2" spans="1:10" x14ac:dyDescent="0.3">
      <c r="A2" t="s">
        <v>75</v>
      </c>
      <c r="B2" t="s">
        <v>76</v>
      </c>
      <c r="C2" t="s">
        <v>76</v>
      </c>
      <c r="D2" t="s">
        <v>77</v>
      </c>
      <c r="E2" t="s">
        <v>78</v>
      </c>
      <c r="F2">
        <v>9.8000000000000007</v>
      </c>
      <c r="G2">
        <v>10</v>
      </c>
      <c r="H2" t="s">
        <v>79</v>
      </c>
      <c r="I2" t="s">
        <v>80</v>
      </c>
      <c r="J2" t="s">
        <v>82</v>
      </c>
    </row>
    <row r="3" spans="1:10" x14ac:dyDescent="0.3">
      <c r="A3" t="s">
        <v>83</v>
      </c>
      <c r="B3" t="s">
        <v>84</v>
      </c>
      <c r="C3" t="s">
        <v>84</v>
      </c>
      <c r="D3" t="s">
        <v>77</v>
      </c>
      <c r="E3" t="s">
        <v>78</v>
      </c>
      <c r="F3">
        <v>8.8000000000000007</v>
      </c>
      <c r="G3">
        <v>10</v>
      </c>
      <c r="H3" t="s">
        <v>85</v>
      </c>
      <c r="I3" t="s">
        <v>86</v>
      </c>
      <c r="J3" t="s">
        <v>87</v>
      </c>
    </row>
    <row r="4" spans="1:10" x14ac:dyDescent="0.3">
      <c r="A4" t="s">
        <v>88</v>
      </c>
      <c r="B4" t="s">
        <v>89</v>
      </c>
      <c r="C4" t="s">
        <v>90</v>
      </c>
      <c r="D4" t="s">
        <v>77</v>
      </c>
      <c r="E4" t="s">
        <v>91</v>
      </c>
      <c r="F4">
        <v>9.9</v>
      </c>
      <c r="G4">
        <v>9.8000000000000007</v>
      </c>
      <c r="H4" t="s">
        <v>92</v>
      </c>
      <c r="I4" t="s">
        <v>93</v>
      </c>
      <c r="J4" t="s">
        <v>94</v>
      </c>
    </row>
    <row r="5" spans="1:10" x14ac:dyDescent="0.3">
      <c r="A5" t="s">
        <v>95</v>
      </c>
      <c r="B5" t="s">
        <v>89</v>
      </c>
      <c r="C5" t="s">
        <v>89</v>
      </c>
      <c r="D5" t="s">
        <v>77</v>
      </c>
      <c r="E5" t="s">
        <v>96</v>
      </c>
      <c r="F5">
        <v>7.5</v>
      </c>
      <c r="G5">
        <v>9</v>
      </c>
      <c r="H5" t="s">
        <v>98</v>
      </c>
      <c r="I5" t="s">
        <v>97</v>
      </c>
      <c r="J5" t="s">
        <v>106</v>
      </c>
    </row>
    <row r="6" spans="1:10" x14ac:dyDescent="0.3">
      <c r="A6" t="s">
        <v>99</v>
      </c>
      <c r="B6" t="s">
        <v>76</v>
      </c>
      <c r="C6" t="s">
        <v>76</v>
      </c>
      <c r="D6" t="s">
        <v>77</v>
      </c>
      <c r="E6" t="s">
        <v>100</v>
      </c>
      <c r="F6">
        <v>9</v>
      </c>
      <c r="G6">
        <v>9.5</v>
      </c>
      <c r="H6" t="s">
        <v>101</v>
      </c>
      <c r="I6" t="s">
        <v>102</v>
      </c>
      <c r="J6" t="s">
        <v>107</v>
      </c>
    </row>
    <row r="7" spans="1:10" x14ac:dyDescent="0.3">
      <c r="A7" t="s">
        <v>103</v>
      </c>
      <c r="B7" t="s">
        <v>89</v>
      </c>
      <c r="C7" t="s">
        <v>89</v>
      </c>
      <c r="D7" t="s">
        <v>77</v>
      </c>
      <c r="E7" t="s">
        <v>96</v>
      </c>
      <c r="F7">
        <v>9</v>
      </c>
      <c r="G7">
        <v>10</v>
      </c>
      <c r="H7" t="s">
        <v>104</v>
      </c>
      <c r="I7" t="s">
        <v>105</v>
      </c>
      <c r="J7" t="s">
        <v>106</v>
      </c>
    </row>
    <row r="8" spans="1:10" x14ac:dyDescent="0.3">
      <c r="A8" t="s">
        <v>108</v>
      </c>
      <c r="B8" t="s">
        <v>76</v>
      </c>
      <c r="C8" t="s">
        <v>76</v>
      </c>
      <c r="D8" t="s">
        <v>109</v>
      </c>
      <c r="E8" t="s">
        <v>96</v>
      </c>
      <c r="F8">
        <v>10</v>
      </c>
      <c r="G8">
        <v>10</v>
      </c>
      <c r="H8" t="s">
        <v>110</v>
      </c>
      <c r="I8" t="s">
        <v>111</v>
      </c>
      <c r="J8" t="s">
        <v>106</v>
      </c>
    </row>
    <row r="9" spans="1:10" x14ac:dyDescent="0.3">
      <c r="A9" t="s">
        <v>115</v>
      </c>
      <c r="B9" t="s">
        <v>90</v>
      </c>
      <c r="C9" t="s">
        <v>90</v>
      </c>
      <c r="D9" t="s">
        <v>77</v>
      </c>
      <c r="E9" t="s">
        <v>96</v>
      </c>
      <c r="F9">
        <v>9</v>
      </c>
      <c r="G9">
        <v>10</v>
      </c>
      <c r="H9" t="s">
        <v>117</v>
      </c>
      <c r="I9" t="s">
        <v>116</v>
      </c>
      <c r="J9" t="s">
        <v>118</v>
      </c>
    </row>
    <row r="10" spans="1:10" x14ac:dyDescent="0.3">
      <c r="A10" t="s">
        <v>119</v>
      </c>
      <c r="B10" t="s">
        <v>90</v>
      </c>
      <c r="C10" t="s">
        <v>90</v>
      </c>
      <c r="D10" t="s">
        <v>77</v>
      </c>
      <c r="E10" t="s">
        <v>96</v>
      </c>
      <c r="F10">
        <v>7</v>
      </c>
      <c r="G10">
        <v>8</v>
      </c>
      <c r="H10" t="s">
        <v>120</v>
      </c>
      <c r="I10" t="s">
        <v>124</v>
      </c>
      <c r="J10" t="s">
        <v>121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Masonry</vt:lpstr>
      <vt:lpstr>Timber</vt:lpstr>
      <vt:lpstr>Concrete</vt:lpstr>
      <vt:lpstr>Other</vt:lpstr>
      <vt:lpstr>Testers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Rocha</dc:creator>
  <cp:lastModifiedBy>Michael Rocha</cp:lastModifiedBy>
  <dcterms:created xsi:type="dcterms:W3CDTF">2025-12-17T18:11:28Z</dcterms:created>
  <dcterms:modified xsi:type="dcterms:W3CDTF">2026-05-17T21:36:06Z</dcterms:modified>
</cp:coreProperties>
</file>