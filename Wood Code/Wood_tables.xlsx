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8b45b1c4bb17244/ARCE/Wood Code/"/>
    </mc:Choice>
  </mc:AlternateContent>
  <xr:revisionPtr revIDLastSave="4233" documentId="8_{AFC590ED-F73A-41C1-96F5-AAB0121CA97A}" xr6:coauthVersionLast="47" xr6:coauthVersionMax="47" xr10:uidLastSave="{D9BDADD7-2E41-4160-B428-98265420295B}"/>
  <bookViews>
    <workbookView xWindow="-108" yWindow="-108" windowWidth="23256" windowHeight="12456" firstSheet="1" activeTab="4" xr2:uid="{3402786F-8947-43DD-8923-73393DA99945}"/>
  </bookViews>
  <sheets>
    <sheet name="Size Properties " sheetId="9" r:id="rId1"/>
    <sheet name="Small Ref Values" sheetId="10" r:id="rId2"/>
    <sheet name="Small Ref Values Speices" sheetId="12" r:id="rId3"/>
    <sheet name="Big Ref Values" sheetId="11" r:id="rId4"/>
    <sheet name="Big Ref Values Speices" sheetId="13" r:id="rId5"/>
    <sheet name="Timber ADJ" sheetId="1" r:id="rId6"/>
    <sheet name="CD" sheetId="2" r:id="rId7"/>
    <sheet name="CM" sheetId="3" r:id="rId8"/>
    <sheet name="Ct" sheetId="4" r:id="rId9"/>
    <sheet name="Ci" sheetId="7" r:id="rId10"/>
    <sheet name="CF" sheetId="5" r:id="rId11"/>
    <sheet name="CFu Small" sheetId="6" r:id="rId12"/>
    <sheet name="CFu Big" sheetId="8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9" l="1"/>
  <c r="D5" i="9"/>
  <c r="D6" i="9"/>
  <c r="D7" i="9"/>
  <c r="D2" i="9"/>
  <c r="D3" i="9"/>
</calcChain>
</file>

<file path=xl/sharedStrings.xml><?xml version="1.0" encoding="utf-8"?>
<sst xmlns="http://schemas.openxmlformats.org/spreadsheetml/2006/main" count="2743" uniqueCount="235">
  <si>
    <t>CD</t>
  </si>
  <si>
    <t>CM</t>
  </si>
  <si>
    <t>CT</t>
  </si>
  <si>
    <t>CL</t>
  </si>
  <si>
    <t>CF</t>
  </si>
  <si>
    <t>Ci</t>
  </si>
  <si>
    <t>Cr</t>
  </si>
  <si>
    <t>Cfu</t>
  </si>
  <si>
    <t>Cp</t>
  </si>
  <si>
    <t>Ct</t>
  </si>
  <si>
    <t>Cb</t>
  </si>
  <si>
    <t>F'b</t>
  </si>
  <si>
    <t>F't</t>
  </si>
  <si>
    <t>F'v</t>
  </si>
  <si>
    <t>F'c</t>
  </si>
  <si>
    <t>F'c⊥</t>
  </si>
  <si>
    <t>E'</t>
  </si>
  <si>
    <t>E'min</t>
  </si>
  <si>
    <t>Load Duration</t>
  </si>
  <si>
    <t>Construction</t>
  </si>
  <si>
    <t>Fb</t>
  </si>
  <si>
    <t>Fv</t>
  </si>
  <si>
    <t>Ft</t>
  </si>
  <si>
    <t>Fc⊥</t>
  </si>
  <si>
    <t>Fc</t>
  </si>
  <si>
    <t>E</t>
  </si>
  <si>
    <t>Emin</t>
  </si>
  <si>
    <t>&lt;=100</t>
  </si>
  <si>
    <t>100-125</t>
  </si>
  <si>
    <t>125-150</t>
  </si>
  <si>
    <t>mouister</t>
  </si>
  <si>
    <t>NA</t>
  </si>
  <si>
    <t>Thickness</t>
  </si>
  <si>
    <t>Grade</t>
  </si>
  <si>
    <t>Width</t>
  </si>
  <si>
    <t>No1</t>
  </si>
  <si>
    <t>No2</t>
  </si>
  <si>
    <t>No3</t>
  </si>
  <si>
    <t>Stud</t>
  </si>
  <si>
    <t>Con</t>
  </si>
  <si>
    <t>Utility</t>
  </si>
  <si>
    <t>Go To No3</t>
  </si>
  <si>
    <t>Size</t>
  </si>
  <si>
    <t>other</t>
  </si>
  <si>
    <t>Select Structural</t>
  </si>
  <si>
    <t>Name</t>
  </si>
  <si>
    <t>b nom</t>
  </si>
  <si>
    <t>d nom</t>
  </si>
  <si>
    <t>b act</t>
  </si>
  <si>
    <t>d act</t>
  </si>
  <si>
    <t>A</t>
  </si>
  <si>
    <t>Sxx</t>
  </si>
  <si>
    <t>Ixx</t>
  </si>
  <si>
    <t>Syy</t>
  </si>
  <si>
    <t>Iyy</t>
  </si>
  <si>
    <t>type</t>
  </si>
  <si>
    <t>my class</t>
  </si>
  <si>
    <t>1x3</t>
  </si>
  <si>
    <t>1x4</t>
  </si>
  <si>
    <t>1x6</t>
  </si>
  <si>
    <t>1x8</t>
  </si>
  <si>
    <t>1x10</t>
  </si>
  <si>
    <t>1x12</t>
  </si>
  <si>
    <t>Board</t>
  </si>
  <si>
    <t>Small</t>
  </si>
  <si>
    <t>2x3</t>
  </si>
  <si>
    <t>2x4</t>
  </si>
  <si>
    <t>2x5</t>
  </si>
  <si>
    <t>2x6</t>
  </si>
  <si>
    <t>2x8</t>
  </si>
  <si>
    <t>2x10</t>
  </si>
  <si>
    <t>2x12</t>
  </si>
  <si>
    <t>2x14</t>
  </si>
  <si>
    <t>Dimension Lumber</t>
  </si>
  <si>
    <t>3x4</t>
  </si>
  <si>
    <t>3x5</t>
  </si>
  <si>
    <t>3x6</t>
  </si>
  <si>
    <t>3x8</t>
  </si>
  <si>
    <t>3x10</t>
  </si>
  <si>
    <t>3x12</t>
  </si>
  <si>
    <t>3x14</t>
  </si>
  <si>
    <t>3x16</t>
  </si>
  <si>
    <t>4x4</t>
  </si>
  <si>
    <t>4x5</t>
  </si>
  <si>
    <t>4x6</t>
  </si>
  <si>
    <t>4x8</t>
  </si>
  <si>
    <t>4x10</t>
  </si>
  <si>
    <t>4x12</t>
  </si>
  <si>
    <t>4x14</t>
  </si>
  <si>
    <t>4x16</t>
  </si>
  <si>
    <t>5x5</t>
  </si>
  <si>
    <t>Post and Timbers</t>
  </si>
  <si>
    <t>Big</t>
  </si>
  <si>
    <t>6x6</t>
  </si>
  <si>
    <t>6x8</t>
  </si>
  <si>
    <t>6x10</t>
  </si>
  <si>
    <t>6x12</t>
  </si>
  <si>
    <t>6x14</t>
  </si>
  <si>
    <t>6x16</t>
  </si>
  <si>
    <t>6x18</t>
  </si>
  <si>
    <t>6x20</t>
  </si>
  <si>
    <t>6x22</t>
  </si>
  <si>
    <t>6x24</t>
  </si>
  <si>
    <t>8x8</t>
  </si>
  <si>
    <t>8x10</t>
  </si>
  <si>
    <t>10x10</t>
  </si>
  <si>
    <t>10x12</t>
  </si>
  <si>
    <t>12x12</t>
  </si>
  <si>
    <t>12x14</t>
  </si>
  <si>
    <t>14x14</t>
  </si>
  <si>
    <t>14x16</t>
  </si>
  <si>
    <t>16x16</t>
  </si>
  <si>
    <t>16x18</t>
  </si>
  <si>
    <t>18x18</t>
  </si>
  <si>
    <t>18x20</t>
  </si>
  <si>
    <t>20x20</t>
  </si>
  <si>
    <t>20x22</t>
  </si>
  <si>
    <t>22x22</t>
  </si>
  <si>
    <t>22x24</t>
  </si>
  <si>
    <t>24x24</t>
  </si>
  <si>
    <t>Beams and Stringers</t>
  </si>
  <si>
    <t>8x12</t>
  </si>
  <si>
    <t>8x14</t>
  </si>
  <si>
    <t>8x16</t>
  </si>
  <si>
    <t>8x18</t>
  </si>
  <si>
    <t>8x20</t>
  </si>
  <si>
    <t>8x22</t>
  </si>
  <si>
    <t>8x24</t>
  </si>
  <si>
    <t>10x14</t>
  </si>
  <si>
    <t>10x16</t>
  </si>
  <si>
    <t>10x18</t>
  </si>
  <si>
    <t>10x20</t>
  </si>
  <si>
    <t>10x22</t>
  </si>
  <si>
    <t>10x24</t>
  </si>
  <si>
    <t>12x16</t>
  </si>
  <si>
    <t>12x18</t>
  </si>
  <si>
    <t>12x20</t>
  </si>
  <si>
    <t>12x22</t>
  </si>
  <si>
    <t>12x24</t>
  </si>
  <si>
    <t>14x18</t>
  </si>
  <si>
    <t>14x20</t>
  </si>
  <si>
    <t>14x22</t>
  </si>
  <si>
    <t>14x24</t>
  </si>
  <si>
    <t>16x20</t>
  </si>
  <si>
    <t>16x22</t>
  </si>
  <si>
    <t>16x24</t>
  </si>
  <si>
    <t>18x22</t>
  </si>
  <si>
    <t>18x24</t>
  </si>
  <si>
    <t>20x24</t>
  </si>
  <si>
    <t>G</t>
  </si>
  <si>
    <t>Agency</t>
  </si>
  <si>
    <t>Species</t>
  </si>
  <si>
    <t>Standard</t>
  </si>
  <si>
    <t>2+</t>
  </si>
  <si>
    <t>2 to 4</t>
  </si>
  <si>
    <t>PLIB</t>
  </si>
  <si>
    <t>WWPA</t>
  </si>
  <si>
    <t>PLIB/WWPA</t>
  </si>
  <si>
    <t>NELMA/WWPA</t>
  </si>
  <si>
    <t>SPIB</t>
  </si>
  <si>
    <t>NELMA</t>
  </si>
  <si>
    <t>NLGA</t>
  </si>
  <si>
    <t>No1&amp;Btr</t>
  </si>
  <si>
    <t>RIS</t>
  </si>
  <si>
    <t>NELMA/PLIB/WWPA</t>
  </si>
  <si>
    <t>Beams And Stringers</t>
  </si>
  <si>
    <t>Dense Select Structural</t>
  </si>
  <si>
    <t>Dense No1</t>
  </si>
  <si>
    <t>Dense No2</t>
  </si>
  <si>
    <t>Dense Select Structural 86</t>
  </si>
  <si>
    <t>Dense Select Structural 72</t>
  </si>
  <si>
    <t>Dense Select Structural 65</t>
  </si>
  <si>
    <t>alaska cedar</t>
  </si>
  <si>
    <t>alaska hemlock</t>
  </si>
  <si>
    <t>alaska spruce</t>
  </si>
  <si>
    <t>alaska yellow cedar</t>
  </si>
  <si>
    <t>aspen</t>
  </si>
  <si>
    <t>baldcypress</t>
  </si>
  <si>
    <t>beech-birch-hickory</t>
  </si>
  <si>
    <t>coast sitka spruce</t>
  </si>
  <si>
    <t>cottonwood</t>
  </si>
  <si>
    <t>douglas fir-larch, douglas fir, western larch</t>
  </si>
  <si>
    <t>douglas fir-larch (north), douglas fir (north), western larch (north)</t>
  </si>
  <si>
    <t>douglas fir-south</t>
  </si>
  <si>
    <t>eastern hemlock-balsam fir</t>
  </si>
  <si>
    <t>eastern hemlock-tamarack</t>
  </si>
  <si>
    <t>eastern softwoods</t>
  </si>
  <si>
    <t>eastern white pine</t>
  </si>
  <si>
    <t>hem-fir</t>
  </si>
  <si>
    <t>hem-fir (north)</t>
  </si>
  <si>
    <t>mixed maple</t>
  </si>
  <si>
    <t>mixed oak</t>
  </si>
  <si>
    <t>northern red oak</t>
  </si>
  <si>
    <t>northern species</t>
  </si>
  <si>
    <t>northern white cedar</t>
  </si>
  <si>
    <t>norway spruce (north)</t>
  </si>
  <si>
    <t>red maple</t>
  </si>
  <si>
    <t>red oak</t>
  </si>
  <si>
    <t>redwood</t>
  </si>
  <si>
    <t>spruce-pin-fir</t>
  </si>
  <si>
    <t>spruce-pin-fir (south)</t>
  </si>
  <si>
    <t>western cedars</t>
  </si>
  <si>
    <t>western juniper</t>
  </si>
  <si>
    <t>western woods</t>
  </si>
  <si>
    <t>white oak</t>
  </si>
  <si>
    <t>yellow cedar</t>
  </si>
  <si>
    <t>yellow poplar</t>
  </si>
  <si>
    <t>balsam fir</t>
  </si>
  <si>
    <t>douglas fir (south)</t>
  </si>
  <si>
    <t>eastern hemlock</t>
  </si>
  <si>
    <t>eastern hemlock-tamarack (n)</t>
  </si>
  <si>
    <t>eastern spruce</t>
  </si>
  <si>
    <t>mixed southern pine</t>
  </si>
  <si>
    <t>mountain hemlock</t>
  </si>
  <si>
    <t>northern pine</t>
  </si>
  <si>
    <t>ponderosa pine</t>
  </si>
  <si>
    <t>red pine</t>
  </si>
  <si>
    <t>sitka spruce</t>
  </si>
  <si>
    <t>southern pine</t>
  </si>
  <si>
    <t>spruce-pine-fir</t>
  </si>
  <si>
    <t>spruce-pine-fir (south)</t>
  </si>
  <si>
    <t>western cedars (north)</t>
  </si>
  <si>
    <t>western hemlock</t>
  </si>
  <si>
    <t>western hemlock (north)</t>
  </si>
  <si>
    <t>wetsern white pine</t>
  </si>
  <si>
    <t>permanent</t>
  </si>
  <si>
    <t>live</t>
  </si>
  <si>
    <t>snow</t>
  </si>
  <si>
    <t>construction</t>
  </si>
  <si>
    <t>wind/eq</t>
  </si>
  <si>
    <t>impact</t>
  </si>
  <si>
    <t>dry</t>
  </si>
  <si>
    <t>wet</t>
  </si>
  <si>
    <t>na</t>
  </si>
  <si>
    <t>10+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</si>
</sst>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D0BEB-D6EC-4AF5-A1A2-532000251A34}">
  <dimension ref="A1:L87"/>
  <sheetViews>
    <sheetView topLeftCell="A11" workbookViewId="0">
      <selection activeCell="A22" sqref="A22"/>
    </sheetView>
  </sheetViews>
  <sheetFormatPr defaultRowHeight="14.4" x14ac:dyDescent="0.3"/>
  <cols>
    <col min="11" max="11" width="17.21875" customWidth="1"/>
  </cols>
  <sheetData>
    <row r="1" spans="1:12" x14ac:dyDescent="0.3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</row>
    <row r="2" spans="1:12" x14ac:dyDescent="0.3">
      <c r="A2" t="s">
        <v>57</v>
      </c>
      <c r="B2">
        <v>1</v>
      </c>
      <c r="C2">
        <v>3</v>
      </c>
      <c r="D2">
        <f>0.75</f>
        <v>0.75</v>
      </c>
      <c r="E2">
        <v>2.5</v>
      </c>
      <c r="F2">
        <v>1.875</v>
      </c>
      <c r="G2">
        <v>0.78100000000000003</v>
      </c>
      <c r="H2">
        <v>0.97699999999999998</v>
      </c>
      <c r="I2">
        <v>0.23400000000000001</v>
      </c>
      <c r="J2">
        <v>8.7999999999999995E-2</v>
      </c>
      <c r="K2" t="s">
        <v>63</v>
      </c>
      <c r="L2" t="s">
        <v>64</v>
      </c>
    </row>
    <row r="3" spans="1:12" x14ac:dyDescent="0.3">
      <c r="A3" t="s">
        <v>58</v>
      </c>
      <c r="B3">
        <v>1</v>
      </c>
      <c r="C3">
        <v>4</v>
      </c>
      <c r="D3">
        <f>0.75</f>
        <v>0.75</v>
      </c>
      <c r="E3">
        <v>3.5</v>
      </c>
      <c r="F3">
        <v>2.625</v>
      </c>
      <c r="G3">
        <v>1.5309999999999999</v>
      </c>
      <c r="H3">
        <v>2.6890000000000001</v>
      </c>
      <c r="I3">
        <v>0.32800000000000001</v>
      </c>
      <c r="J3">
        <v>0.123</v>
      </c>
      <c r="K3" t="s">
        <v>63</v>
      </c>
      <c r="L3" t="s">
        <v>64</v>
      </c>
    </row>
    <row r="4" spans="1:12" x14ac:dyDescent="0.3">
      <c r="A4" t="s">
        <v>59</v>
      </c>
      <c r="B4">
        <v>1</v>
      </c>
      <c r="C4">
        <v>6</v>
      </c>
      <c r="D4">
        <f t="shared" ref="D4:D7" si="0">0.75</f>
        <v>0.75</v>
      </c>
      <c r="E4">
        <v>5.5</v>
      </c>
      <c r="F4">
        <v>4.125</v>
      </c>
      <c r="G4">
        <v>3.7810000000000001</v>
      </c>
      <c r="H4">
        <v>10.4</v>
      </c>
      <c r="I4">
        <v>0.51600000000000001</v>
      </c>
      <c r="J4">
        <v>0.193</v>
      </c>
      <c r="K4" t="s">
        <v>63</v>
      </c>
      <c r="L4" t="s">
        <v>64</v>
      </c>
    </row>
    <row r="5" spans="1:12" x14ac:dyDescent="0.3">
      <c r="A5" t="s">
        <v>60</v>
      </c>
      <c r="B5">
        <v>1</v>
      </c>
      <c r="C5">
        <v>8</v>
      </c>
      <c r="D5">
        <f t="shared" si="0"/>
        <v>0.75</v>
      </c>
      <c r="E5">
        <v>7.25</v>
      </c>
      <c r="F5">
        <v>5.4379999999999997</v>
      </c>
      <c r="G5">
        <v>6.57</v>
      </c>
      <c r="H5">
        <v>23.82</v>
      </c>
      <c r="I5">
        <v>0.68</v>
      </c>
      <c r="J5">
        <v>0.255</v>
      </c>
      <c r="K5" t="s">
        <v>63</v>
      </c>
      <c r="L5" t="s">
        <v>64</v>
      </c>
    </row>
    <row r="6" spans="1:12" x14ac:dyDescent="0.3">
      <c r="A6" t="s">
        <v>61</v>
      </c>
      <c r="B6">
        <v>1</v>
      </c>
      <c r="C6">
        <v>10</v>
      </c>
      <c r="D6">
        <f t="shared" si="0"/>
        <v>0.75</v>
      </c>
      <c r="E6">
        <v>9.25</v>
      </c>
      <c r="F6">
        <v>6.9379999999999997</v>
      </c>
      <c r="G6">
        <v>10.7</v>
      </c>
      <c r="H6">
        <v>49.47</v>
      </c>
      <c r="I6">
        <v>0.86699999999999999</v>
      </c>
      <c r="J6">
        <v>0.32500000000000001</v>
      </c>
      <c r="K6" t="s">
        <v>63</v>
      </c>
      <c r="L6" t="s">
        <v>64</v>
      </c>
    </row>
    <row r="7" spans="1:12" x14ac:dyDescent="0.3">
      <c r="A7" s="1" t="s">
        <v>62</v>
      </c>
      <c r="B7" s="1">
        <v>1</v>
      </c>
      <c r="C7" s="1">
        <v>12</v>
      </c>
      <c r="D7" s="1">
        <f t="shared" si="0"/>
        <v>0.75</v>
      </c>
      <c r="E7" s="1">
        <v>11.25</v>
      </c>
      <c r="F7" s="1">
        <v>8.4380000000000006</v>
      </c>
      <c r="G7" s="1">
        <v>15.82</v>
      </c>
      <c r="H7" s="1">
        <v>88.99</v>
      </c>
      <c r="I7" s="1">
        <v>1.0549999999999999</v>
      </c>
      <c r="J7" s="1">
        <v>0.39600000000000002</v>
      </c>
      <c r="K7" s="1" t="s">
        <v>63</v>
      </c>
      <c r="L7" s="1" t="s">
        <v>64</v>
      </c>
    </row>
    <row r="8" spans="1:12" x14ac:dyDescent="0.3">
      <c r="A8" t="s">
        <v>65</v>
      </c>
      <c r="B8">
        <v>2</v>
      </c>
      <c r="C8">
        <v>3</v>
      </c>
      <c r="D8">
        <v>1.5</v>
      </c>
      <c r="E8">
        <v>2.5</v>
      </c>
      <c r="F8">
        <v>3.75</v>
      </c>
      <c r="G8">
        <v>1.56</v>
      </c>
      <c r="H8">
        <v>1.9530000000000001</v>
      </c>
      <c r="I8">
        <v>0.93799999999999994</v>
      </c>
      <c r="J8">
        <v>0.70299999999999996</v>
      </c>
      <c r="K8" t="s">
        <v>73</v>
      </c>
      <c r="L8" t="s">
        <v>64</v>
      </c>
    </row>
    <row r="9" spans="1:12" x14ac:dyDescent="0.3">
      <c r="A9" t="s">
        <v>66</v>
      </c>
      <c r="B9">
        <v>2</v>
      </c>
      <c r="C9">
        <v>4</v>
      </c>
      <c r="D9">
        <v>1.5</v>
      </c>
      <c r="E9">
        <v>3.5</v>
      </c>
      <c r="F9">
        <v>5.25</v>
      </c>
      <c r="G9">
        <v>3.06</v>
      </c>
      <c r="H9">
        <v>5.359</v>
      </c>
      <c r="I9">
        <v>1.3129999999999999</v>
      </c>
      <c r="J9">
        <v>0.98399999999999999</v>
      </c>
      <c r="K9" t="s">
        <v>73</v>
      </c>
      <c r="L9" t="s">
        <v>64</v>
      </c>
    </row>
    <row r="10" spans="1:12" x14ac:dyDescent="0.3">
      <c r="A10" t="s">
        <v>67</v>
      </c>
      <c r="B10">
        <v>2</v>
      </c>
      <c r="C10">
        <v>5</v>
      </c>
      <c r="D10">
        <v>1.5</v>
      </c>
      <c r="E10">
        <v>4.5</v>
      </c>
      <c r="F10">
        <v>6.75</v>
      </c>
      <c r="G10">
        <v>5.0599999999999996</v>
      </c>
      <c r="H10">
        <v>11.39</v>
      </c>
      <c r="I10">
        <v>1.6879999999999999</v>
      </c>
      <c r="J10">
        <v>1.266</v>
      </c>
      <c r="K10" t="s">
        <v>73</v>
      </c>
      <c r="L10" t="s">
        <v>64</v>
      </c>
    </row>
    <row r="11" spans="1:12" x14ac:dyDescent="0.3">
      <c r="A11" t="s">
        <v>68</v>
      </c>
      <c r="B11">
        <v>2</v>
      </c>
      <c r="C11">
        <v>6</v>
      </c>
      <c r="D11">
        <v>1.5</v>
      </c>
      <c r="E11">
        <v>5.5</v>
      </c>
      <c r="F11">
        <v>8.25</v>
      </c>
      <c r="G11">
        <v>7.56</v>
      </c>
      <c r="H11">
        <v>20.8</v>
      </c>
      <c r="I11">
        <v>2.0630000000000002</v>
      </c>
      <c r="J11">
        <v>1.5469999999999999</v>
      </c>
      <c r="K11" t="s">
        <v>73</v>
      </c>
      <c r="L11" t="s">
        <v>64</v>
      </c>
    </row>
    <row r="12" spans="1:12" x14ac:dyDescent="0.3">
      <c r="A12" t="s">
        <v>69</v>
      </c>
      <c r="B12">
        <v>2</v>
      </c>
      <c r="C12">
        <v>8</v>
      </c>
      <c r="D12">
        <v>1.5</v>
      </c>
      <c r="E12">
        <v>7.25</v>
      </c>
      <c r="F12">
        <v>10.88</v>
      </c>
      <c r="G12">
        <v>13.14</v>
      </c>
      <c r="H12">
        <v>47.63</v>
      </c>
      <c r="I12">
        <v>2.7189999999999999</v>
      </c>
      <c r="J12">
        <v>2.0390000000000001</v>
      </c>
      <c r="K12" t="s">
        <v>73</v>
      </c>
      <c r="L12" t="s">
        <v>64</v>
      </c>
    </row>
    <row r="13" spans="1:12" x14ac:dyDescent="0.3">
      <c r="A13" t="s">
        <v>70</v>
      </c>
      <c r="B13">
        <v>2</v>
      </c>
      <c r="C13">
        <v>10</v>
      </c>
      <c r="D13">
        <v>1.5</v>
      </c>
      <c r="E13">
        <v>9.25</v>
      </c>
      <c r="F13">
        <v>13.88</v>
      </c>
      <c r="G13">
        <v>21.39</v>
      </c>
      <c r="H13">
        <v>98.93</v>
      </c>
      <c r="I13">
        <v>3.4689999999999999</v>
      </c>
      <c r="J13">
        <v>2.6019999999999999</v>
      </c>
      <c r="K13" t="s">
        <v>73</v>
      </c>
      <c r="L13" t="s">
        <v>64</v>
      </c>
    </row>
    <row r="14" spans="1:12" x14ac:dyDescent="0.3">
      <c r="A14" t="s">
        <v>71</v>
      </c>
      <c r="B14">
        <v>2</v>
      </c>
      <c r="C14">
        <v>12</v>
      </c>
      <c r="D14">
        <v>1.5</v>
      </c>
      <c r="E14">
        <v>11.25</v>
      </c>
      <c r="F14">
        <v>16.88</v>
      </c>
      <c r="G14">
        <v>31.64</v>
      </c>
      <c r="H14">
        <v>178</v>
      </c>
      <c r="I14">
        <v>4.2190000000000003</v>
      </c>
      <c r="J14">
        <v>3.1640000000000001</v>
      </c>
      <c r="K14" t="s">
        <v>73</v>
      </c>
      <c r="L14" t="s">
        <v>64</v>
      </c>
    </row>
    <row r="15" spans="1:12" x14ac:dyDescent="0.3">
      <c r="A15" s="1" t="s">
        <v>72</v>
      </c>
      <c r="B15" s="1">
        <v>2</v>
      </c>
      <c r="C15" s="1">
        <v>14</v>
      </c>
      <c r="D15" s="1">
        <v>1.5</v>
      </c>
      <c r="E15" s="1">
        <v>13.25</v>
      </c>
      <c r="F15" s="1">
        <v>19.88</v>
      </c>
      <c r="G15" s="1">
        <v>43.89</v>
      </c>
      <c r="H15" s="1">
        <v>290.8</v>
      </c>
      <c r="I15" s="1">
        <v>4.9690000000000003</v>
      </c>
      <c r="J15" s="1">
        <v>3.7269999999999999</v>
      </c>
      <c r="K15" s="1" t="s">
        <v>73</v>
      </c>
      <c r="L15" s="1" t="s">
        <v>64</v>
      </c>
    </row>
    <row r="16" spans="1:12" x14ac:dyDescent="0.3">
      <c r="A16" t="s">
        <v>74</v>
      </c>
      <c r="B16">
        <v>3</v>
      </c>
      <c r="C16">
        <v>4</v>
      </c>
      <c r="D16">
        <v>2.5</v>
      </c>
      <c r="E16">
        <v>3.5</v>
      </c>
      <c r="F16">
        <v>8.75</v>
      </c>
      <c r="G16">
        <v>5.0999999999999996</v>
      </c>
      <c r="H16">
        <v>8.9320000000000004</v>
      </c>
      <c r="I16">
        <v>3.6459999999999999</v>
      </c>
      <c r="J16">
        <v>4.5570000000000004</v>
      </c>
      <c r="K16" t="s">
        <v>73</v>
      </c>
      <c r="L16" t="s">
        <v>64</v>
      </c>
    </row>
    <row r="17" spans="1:12" x14ac:dyDescent="0.3">
      <c r="A17" t="s">
        <v>75</v>
      </c>
      <c r="B17">
        <v>3</v>
      </c>
      <c r="C17">
        <v>5</v>
      </c>
      <c r="D17">
        <v>2.5</v>
      </c>
      <c r="E17">
        <v>4.5</v>
      </c>
      <c r="F17">
        <v>11.25</v>
      </c>
      <c r="G17">
        <v>8.44</v>
      </c>
      <c r="H17">
        <v>18.98</v>
      </c>
      <c r="I17">
        <v>4.6879999999999997</v>
      </c>
      <c r="J17">
        <v>5.859</v>
      </c>
      <c r="K17" t="s">
        <v>73</v>
      </c>
      <c r="L17" t="s">
        <v>64</v>
      </c>
    </row>
    <row r="18" spans="1:12" x14ac:dyDescent="0.3">
      <c r="A18" t="s">
        <v>76</v>
      </c>
      <c r="B18">
        <v>3</v>
      </c>
      <c r="C18">
        <v>6</v>
      </c>
      <c r="D18">
        <v>2.5</v>
      </c>
      <c r="E18">
        <v>5.5</v>
      </c>
      <c r="F18">
        <v>13.75</v>
      </c>
      <c r="G18">
        <v>12.6</v>
      </c>
      <c r="H18">
        <v>34.659999999999997</v>
      </c>
      <c r="I18">
        <v>5.7290000000000001</v>
      </c>
      <c r="J18">
        <v>7.1609999999999996</v>
      </c>
      <c r="K18" t="s">
        <v>73</v>
      </c>
      <c r="L18" t="s">
        <v>64</v>
      </c>
    </row>
    <row r="19" spans="1:12" x14ac:dyDescent="0.3">
      <c r="A19" t="s">
        <v>77</v>
      </c>
      <c r="B19">
        <v>3</v>
      </c>
      <c r="C19">
        <v>8</v>
      </c>
      <c r="D19">
        <v>2.5</v>
      </c>
      <c r="E19">
        <v>7.25</v>
      </c>
      <c r="F19">
        <v>18.13</v>
      </c>
      <c r="G19">
        <v>21.9</v>
      </c>
      <c r="H19">
        <v>79.39</v>
      </c>
      <c r="I19">
        <v>7.5519999999999996</v>
      </c>
      <c r="J19">
        <v>9.44</v>
      </c>
      <c r="K19" t="s">
        <v>73</v>
      </c>
      <c r="L19" t="s">
        <v>64</v>
      </c>
    </row>
    <row r="20" spans="1:12" x14ac:dyDescent="0.3">
      <c r="A20" t="s">
        <v>78</v>
      </c>
      <c r="B20">
        <v>3</v>
      </c>
      <c r="C20">
        <v>10</v>
      </c>
      <c r="D20">
        <v>2.5</v>
      </c>
      <c r="E20">
        <v>9.25</v>
      </c>
      <c r="F20">
        <v>23.13</v>
      </c>
      <c r="G20">
        <v>35.65</v>
      </c>
      <c r="H20">
        <v>164.9</v>
      </c>
      <c r="I20">
        <v>9.6349999999999998</v>
      </c>
      <c r="J20">
        <v>12.04</v>
      </c>
      <c r="K20" t="s">
        <v>73</v>
      </c>
      <c r="L20" t="s">
        <v>64</v>
      </c>
    </row>
    <row r="21" spans="1:12" x14ac:dyDescent="0.3">
      <c r="A21" t="s">
        <v>79</v>
      </c>
      <c r="B21">
        <v>3</v>
      </c>
      <c r="C21">
        <v>12</v>
      </c>
      <c r="D21">
        <v>2.5</v>
      </c>
      <c r="E21">
        <v>11.25</v>
      </c>
      <c r="F21">
        <v>28.13</v>
      </c>
      <c r="G21">
        <v>52.73</v>
      </c>
      <c r="H21">
        <v>296.60000000000002</v>
      </c>
      <c r="I21">
        <v>11.72</v>
      </c>
      <c r="J21">
        <v>14.65</v>
      </c>
      <c r="K21" t="s">
        <v>73</v>
      </c>
      <c r="L21" t="s">
        <v>64</v>
      </c>
    </row>
    <row r="22" spans="1:12" x14ac:dyDescent="0.3">
      <c r="A22" t="s">
        <v>80</v>
      </c>
      <c r="B22">
        <v>3</v>
      </c>
      <c r="C22">
        <v>14</v>
      </c>
      <c r="D22">
        <v>2.5</v>
      </c>
      <c r="E22">
        <v>13.25</v>
      </c>
      <c r="F22">
        <v>33.130000000000003</v>
      </c>
      <c r="G22">
        <v>73.150000000000006</v>
      </c>
      <c r="H22">
        <v>484.6</v>
      </c>
      <c r="I22">
        <v>13.8</v>
      </c>
      <c r="J22">
        <v>17.25</v>
      </c>
      <c r="K22" t="s">
        <v>73</v>
      </c>
      <c r="L22" t="s">
        <v>64</v>
      </c>
    </row>
    <row r="23" spans="1:12" x14ac:dyDescent="0.3">
      <c r="A23" s="1" t="s">
        <v>81</v>
      </c>
      <c r="B23" s="1">
        <v>3</v>
      </c>
      <c r="C23" s="1">
        <v>16</v>
      </c>
      <c r="D23" s="1">
        <v>2.5</v>
      </c>
      <c r="E23" s="1">
        <v>15.25</v>
      </c>
      <c r="F23" s="1">
        <v>38.130000000000003</v>
      </c>
      <c r="G23" s="1">
        <v>96.9</v>
      </c>
      <c r="H23" s="1">
        <v>738.9</v>
      </c>
      <c r="I23" s="1">
        <v>15.89</v>
      </c>
      <c r="J23" s="1">
        <v>19.86</v>
      </c>
      <c r="K23" s="1" t="s">
        <v>73</v>
      </c>
      <c r="L23" s="1" t="s">
        <v>64</v>
      </c>
    </row>
    <row r="24" spans="1:12" x14ac:dyDescent="0.3">
      <c r="A24" t="s">
        <v>82</v>
      </c>
      <c r="B24">
        <v>4</v>
      </c>
      <c r="C24">
        <v>4</v>
      </c>
      <c r="D24">
        <v>3.5</v>
      </c>
      <c r="E24">
        <v>3.5</v>
      </c>
      <c r="F24">
        <v>12.25</v>
      </c>
      <c r="G24">
        <v>7.15</v>
      </c>
      <c r="H24">
        <v>12.51</v>
      </c>
      <c r="I24">
        <v>7.1459999999999999</v>
      </c>
      <c r="J24">
        <v>12.51</v>
      </c>
      <c r="K24" t="s">
        <v>73</v>
      </c>
      <c r="L24" t="s">
        <v>64</v>
      </c>
    </row>
    <row r="25" spans="1:12" x14ac:dyDescent="0.3">
      <c r="A25" t="s">
        <v>83</v>
      </c>
      <c r="B25">
        <v>4</v>
      </c>
      <c r="C25">
        <v>5</v>
      </c>
      <c r="D25">
        <v>3.5</v>
      </c>
      <c r="E25">
        <v>4.5</v>
      </c>
      <c r="F25">
        <v>15.75</v>
      </c>
      <c r="G25">
        <v>11.81</v>
      </c>
      <c r="H25">
        <v>26.58</v>
      </c>
      <c r="I25">
        <v>9.1880000000000006</v>
      </c>
      <c r="J25">
        <v>16.079999999999998</v>
      </c>
      <c r="K25" t="s">
        <v>73</v>
      </c>
      <c r="L25" t="s">
        <v>64</v>
      </c>
    </row>
    <row r="26" spans="1:12" x14ac:dyDescent="0.3">
      <c r="A26" t="s">
        <v>84</v>
      </c>
      <c r="B26">
        <v>4</v>
      </c>
      <c r="C26">
        <v>6</v>
      </c>
      <c r="D26">
        <v>3.5</v>
      </c>
      <c r="E26">
        <v>5.5</v>
      </c>
      <c r="F26">
        <v>19.25</v>
      </c>
      <c r="G26">
        <v>17.649999999999999</v>
      </c>
      <c r="H26">
        <v>48.53</v>
      </c>
      <c r="I26">
        <v>11.23</v>
      </c>
      <c r="J26">
        <v>19.649999999999999</v>
      </c>
      <c r="K26" t="s">
        <v>73</v>
      </c>
      <c r="L26" t="s">
        <v>64</v>
      </c>
    </row>
    <row r="27" spans="1:12" x14ac:dyDescent="0.3">
      <c r="A27" t="s">
        <v>85</v>
      </c>
      <c r="B27">
        <v>4</v>
      </c>
      <c r="C27">
        <v>8</v>
      </c>
      <c r="D27">
        <v>3.5</v>
      </c>
      <c r="E27">
        <v>7.25</v>
      </c>
      <c r="F27">
        <v>25.38</v>
      </c>
      <c r="G27">
        <v>30.66</v>
      </c>
      <c r="H27">
        <v>111.1</v>
      </c>
      <c r="I27">
        <v>14.8</v>
      </c>
      <c r="J27">
        <v>25.9</v>
      </c>
      <c r="K27" t="s">
        <v>73</v>
      </c>
      <c r="L27" t="s">
        <v>64</v>
      </c>
    </row>
    <row r="28" spans="1:12" x14ac:dyDescent="0.3">
      <c r="A28" t="s">
        <v>86</v>
      </c>
      <c r="B28">
        <v>4</v>
      </c>
      <c r="C28">
        <v>10</v>
      </c>
      <c r="D28">
        <v>3.5</v>
      </c>
      <c r="E28">
        <v>9.25</v>
      </c>
      <c r="F28">
        <v>32.380000000000003</v>
      </c>
      <c r="G28">
        <v>49.91</v>
      </c>
      <c r="H28">
        <v>230.8</v>
      </c>
      <c r="I28">
        <v>18.89</v>
      </c>
      <c r="J28">
        <v>33.049999999999997</v>
      </c>
      <c r="K28" t="s">
        <v>73</v>
      </c>
      <c r="L28" t="s">
        <v>64</v>
      </c>
    </row>
    <row r="29" spans="1:12" x14ac:dyDescent="0.3">
      <c r="A29" t="s">
        <v>87</v>
      </c>
      <c r="B29">
        <v>4</v>
      </c>
      <c r="C29">
        <v>12</v>
      </c>
      <c r="D29">
        <v>3.5</v>
      </c>
      <c r="E29">
        <v>11.25</v>
      </c>
      <c r="F29">
        <v>39.380000000000003</v>
      </c>
      <c r="G29">
        <v>73.83</v>
      </c>
      <c r="H29">
        <v>415.3</v>
      </c>
      <c r="I29">
        <v>22.97</v>
      </c>
      <c r="J29">
        <v>40.200000000000003</v>
      </c>
      <c r="K29" t="s">
        <v>73</v>
      </c>
      <c r="L29" t="s">
        <v>64</v>
      </c>
    </row>
    <row r="30" spans="1:12" x14ac:dyDescent="0.3">
      <c r="A30" t="s">
        <v>88</v>
      </c>
      <c r="B30">
        <v>4</v>
      </c>
      <c r="C30">
        <v>14</v>
      </c>
      <c r="D30">
        <v>3.5</v>
      </c>
      <c r="E30">
        <v>13.25</v>
      </c>
      <c r="F30">
        <v>46.38</v>
      </c>
      <c r="G30">
        <v>102.41</v>
      </c>
      <c r="H30">
        <v>678.5</v>
      </c>
      <c r="I30">
        <v>27.05</v>
      </c>
      <c r="J30">
        <v>47.34</v>
      </c>
      <c r="K30" t="s">
        <v>73</v>
      </c>
      <c r="L30" t="s">
        <v>64</v>
      </c>
    </row>
    <row r="31" spans="1:12" x14ac:dyDescent="0.3">
      <c r="A31" s="1" t="s">
        <v>89</v>
      </c>
      <c r="B31" s="1">
        <v>4</v>
      </c>
      <c r="C31" s="1">
        <v>16</v>
      </c>
      <c r="D31" s="1">
        <v>3.5</v>
      </c>
      <c r="E31" s="1">
        <v>15.25</v>
      </c>
      <c r="F31" s="1">
        <v>53.38</v>
      </c>
      <c r="G31" s="1">
        <v>135.66</v>
      </c>
      <c r="H31" s="1">
        <v>1034</v>
      </c>
      <c r="I31" s="1">
        <v>31.14</v>
      </c>
      <c r="J31" s="1">
        <v>54.49</v>
      </c>
      <c r="K31" s="1" t="s">
        <v>73</v>
      </c>
      <c r="L31" s="1" t="s">
        <v>64</v>
      </c>
    </row>
    <row r="32" spans="1:12" x14ac:dyDescent="0.3">
      <c r="A32" s="2" t="s">
        <v>90</v>
      </c>
      <c r="B32" s="2">
        <v>5</v>
      </c>
      <c r="C32" s="2">
        <v>5</v>
      </c>
      <c r="D32" s="2">
        <v>4.5</v>
      </c>
      <c r="E32" s="2">
        <v>4.5</v>
      </c>
      <c r="F32" s="2">
        <v>20.25</v>
      </c>
      <c r="G32" s="2">
        <v>15.19</v>
      </c>
      <c r="H32" s="2">
        <v>34.17</v>
      </c>
      <c r="I32" s="2">
        <v>53.15</v>
      </c>
      <c r="J32" s="2">
        <v>72.13</v>
      </c>
      <c r="K32" s="2" t="s">
        <v>91</v>
      </c>
      <c r="L32" s="2" t="s">
        <v>92</v>
      </c>
    </row>
    <row r="33" spans="1:12" x14ac:dyDescent="0.3">
      <c r="A33" t="s">
        <v>93</v>
      </c>
      <c r="B33">
        <v>6</v>
      </c>
      <c r="C33">
        <v>6</v>
      </c>
      <c r="D33">
        <v>5.5</v>
      </c>
      <c r="E33">
        <v>5.5</v>
      </c>
      <c r="F33">
        <v>30.25</v>
      </c>
      <c r="G33">
        <v>27.73</v>
      </c>
      <c r="H33">
        <v>76.260000000000005</v>
      </c>
      <c r="I33">
        <v>27.73</v>
      </c>
      <c r="J33">
        <v>76.260000000000005</v>
      </c>
      <c r="K33" t="s">
        <v>91</v>
      </c>
      <c r="L33" t="s">
        <v>92</v>
      </c>
    </row>
    <row r="34" spans="1:12" x14ac:dyDescent="0.3">
      <c r="A34" s="1" t="s">
        <v>94</v>
      </c>
      <c r="B34" s="1">
        <v>6</v>
      </c>
      <c r="C34" s="1">
        <v>8</v>
      </c>
      <c r="D34" s="1">
        <v>5.5</v>
      </c>
      <c r="E34" s="1">
        <v>7.5</v>
      </c>
      <c r="F34" s="1">
        <v>41.25</v>
      </c>
      <c r="G34" s="1">
        <v>51.56</v>
      </c>
      <c r="H34" s="1">
        <v>193.4</v>
      </c>
      <c r="I34" s="1">
        <v>37.81</v>
      </c>
      <c r="J34" s="1">
        <v>104</v>
      </c>
      <c r="K34" s="1" t="s">
        <v>91</v>
      </c>
      <c r="L34" s="1" t="s">
        <v>92</v>
      </c>
    </row>
    <row r="35" spans="1:12" x14ac:dyDescent="0.3">
      <c r="A35" t="s">
        <v>103</v>
      </c>
      <c r="B35">
        <v>8</v>
      </c>
      <c r="C35">
        <v>8</v>
      </c>
      <c r="D35">
        <v>7.5</v>
      </c>
      <c r="E35">
        <v>7.5</v>
      </c>
      <c r="F35">
        <v>56.25</v>
      </c>
      <c r="G35">
        <v>70.31</v>
      </c>
      <c r="H35">
        <v>263.7</v>
      </c>
      <c r="I35">
        <v>70.31</v>
      </c>
      <c r="J35">
        <v>263.7</v>
      </c>
      <c r="K35" t="s">
        <v>91</v>
      </c>
      <c r="L35" t="s">
        <v>92</v>
      </c>
    </row>
    <row r="36" spans="1:12" x14ac:dyDescent="0.3">
      <c r="A36" s="1" t="s">
        <v>104</v>
      </c>
      <c r="B36" s="1">
        <v>8</v>
      </c>
      <c r="C36" s="1">
        <v>10</v>
      </c>
      <c r="D36" s="1">
        <v>7.5</v>
      </c>
      <c r="E36" s="1">
        <v>9.5</v>
      </c>
      <c r="F36" s="1">
        <v>71.25</v>
      </c>
      <c r="G36" s="1">
        <v>112.8</v>
      </c>
      <c r="H36" s="1">
        <v>535.9</v>
      </c>
      <c r="I36" s="1">
        <v>89.06</v>
      </c>
      <c r="J36" s="1">
        <v>334</v>
      </c>
      <c r="K36" s="1" t="s">
        <v>91</v>
      </c>
      <c r="L36" s="1" t="s">
        <v>92</v>
      </c>
    </row>
    <row r="37" spans="1:12" x14ac:dyDescent="0.3">
      <c r="A37" t="s">
        <v>105</v>
      </c>
      <c r="B37">
        <v>10</v>
      </c>
      <c r="C37">
        <v>10</v>
      </c>
      <c r="D37">
        <v>9.5</v>
      </c>
      <c r="E37">
        <v>9.5</v>
      </c>
      <c r="F37">
        <v>90.25</v>
      </c>
      <c r="G37">
        <v>142.9</v>
      </c>
      <c r="H37">
        <v>678.8</v>
      </c>
      <c r="I37">
        <v>142.9</v>
      </c>
      <c r="J37">
        <v>678.8</v>
      </c>
      <c r="K37" t="s">
        <v>91</v>
      </c>
      <c r="L37" t="s">
        <v>92</v>
      </c>
    </row>
    <row r="38" spans="1:12" x14ac:dyDescent="0.3">
      <c r="A38" s="1" t="s">
        <v>106</v>
      </c>
      <c r="B38" s="1">
        <v>10</v>
      </c>
      <c r="C38" s="1">
        <v>12</v>
      </c>
      <c r="D38" s="1">
        <v>9.5</v>
      </c>
      <c r="E38" s="1">
        <v>11.5</v>
      </c>
      <c r="F38" s="1">
        <v>109.3</v>
      </c>
      <c r="G38" s="1">
        <v>209.4</v>
      </c>
      <c r="H38" s="1">
        <v>1204</v>
      </c>
      <c r="I38" s="1">
        <v>173</v>
      </c>
      <c r="J38" s="1">
        <v>821.7</v>
      </c>
      <c r="K38" s="1" t="s">
        <v>91</v>
      </c>
      <c r="L38" s="1" t="s">
        <v>92</v>
      </c>
    </row>
    <row r="39" spans="1:12" x14ac:dyDescent="0.3">
      <c r="A39" t="s">
        <v>107</v>
      </c>
      <c r="B39">
        <v>12</v>
      </c>
      <c r="C39">
        <v>12</v>
      </c>
      <c r="D39">
        <v>11.5</v>
      </c>
      <c r="E39">
        <v>11.5</v>
      </c>
      <c r="F39">
        <v>132.30000000000001</v>
      </c>
      <c r="G39">
        <v>253.5</v>
      </c>
      <c r="H39">
        <v>1458</v>
      </c>
      <c r="I39">
        <v>253.5</v>
      </c>
      <c r="J39">
        <v>1458</v>
      </c>
      <c r="K39" t="s">
        <v>91</v>
      </c>
      <c r="L39" t="s">
        <v>92</v>
      </c>
    </row>
    <row r="40" spans="1:12" x14ac:dyDescent="0.3">
      <c r="A40" s="1" t="s">
        <v>108</v>
      </c>
      <c r="B40" s="1">
        <v>12</v>
      </c>
      <c r="C40" s="1">
        <v>14</v>
      </c>
      <c r="D40" s="1">
        <v>11.5</v>
      </c>
      <c r="E40" s="1">
        <v>13.5</v>
      </c>
      <c r="F40" s="1">
        <v>155.30000000000001</v>
      </c>
      <c r="G40" s="1">
        <v>349.3</v>
      </c>
      <c r="H40" s="1">
        <v>2358</v>
      </c>
      <c r="I40" s="1">
        <v>297.60000000000002</v>
      </c>
      <c r="J40" s="1">
        <v>1711</v>
      </c>
      <c r="K40" s="1" t="s">
        <v>91</v>
      </c>
      <c r="L40" s="1" t="s">
        <v>92</v>
      </c>
    </row>
    <row r="41" spans="1:12" x14ac:dyDescent="0.3">
      <c r="A41" t="s">
        <v>109</v>
      </c>
      <c r="B41">
        <v>14</v>
      </c>
      <c r="C41">
        <v>14</v>
      </c>
      <c r="D41">
        <v>13.5</v>
      </c>
      <c r="E41">
        <v>13.5</v>
      </c>
      <c r="F41">
        <v>182.3</v>
      </c>
      <c r="G41">
        <v>410.1</v>
      </c>
      <c r="H41">
        <v>2768</v>
      </c>
      <c r="I41">
        <v>410.1</v>
      </c>
      <c r="J41">
        <v>2768</v>
      </c>
      <c r="K41" t="s">
        <v>91</v>
      </c>
      <c r="L41" t="s">
        <v>92</v>
      </c>
    </row>
    <row r="42" spans="1:12" x14ac:dyDescent="0.3">
      <c r="A42" s="1" t="s">
        <v>110</v>
      </c>
      <c r="B42" s="1">
        <v>14</v>
      </c>
      <c r="C42" s="1">
        <v>16</v>
      </c>
      <c r="D42" s="1">
        <v>13.5</v>
      </c>
      <c r="E42" s="1">
        <v>15.5</v>
      </c>
      <c r="F42" s="1">
        <v>209.3</v>
      </c>
      <c r="G42" s="1">
        <v>540.6</v>
      </c>
      <c r="H42" s="1">
        <v>4189</v>
      </c>
      <c r="I42" s="1">
        <v>470.8</v>
      </c>
      <c r="J42" s="1">
        <v>3178</v>
      </c>
      <c r="K42" s="1" t="s">
        <v>91</v>
      </c>
      <c r="L42" s="1" t="s">
        <v>92</v>
      </c>
    </row>
    <row r="43" spans="1:12" x14ac:dyDescent="0.3">
      <c r="A43" t="s">
        <v>111</v>
      </c>
      <c r="B43">
        <v>16</v>
      </c>
      <c r="C43">
        <v>16</v>
      </c>
      <c r="D43">
        <v>15.5</v>
      </c>
      <c r="E43">
        <v>15.5</v>
      </c>
      <c r="F43">
        <v>240.3</v>
      </c>
      <c r="G43">
        <v>620.6</v>
      </c>
      <c r="H43">
        <v>4810</v>
      </c>
      <c r="I43">
        <v>620.6</v>
      </c>
      <c r="J43">
        <v>4810</v>
      </c>
      <c r="K43" t="s">
        <v>91</v>
      </c>
      <c r="L43" t="s">
        <v>92</v>
      </c>
    </row>
    <row r="44" spans="1:12" x14ac:dyDescent="0.3">
      <c r="A44" s="1" t="s">
        <v>112</v>
      </c>
      <c r="B44" s="1">
        <v>16</v>
      </c>
      <c r="C44" s="1">
        <v>18</v>
      </c>
      <c r="D44" s="1">
        <v>15.5</v>
      </c>
      <c r="E44" s="1">
        <v>17.5</v>
      </c>
      <c r="F44" s="1">
        <v>271.3</v>
      </c>
      <c r="G44" s="1">
        <v>791.1</v>
      </c>
      <c r="H44" s="1">
        <v>6923</v>
      </c>
      <c r="I44" s="1">
        <v>700.7</v>
      </c>
      <c r="J44" s="1">
        <v>5431</v>
      </c>
      <c r="K44" s="1" t="s">
        <v>91</v>
      </c>
      <c r="L44" s="1" t="s">
        <v>92</v>
      </c>
    </row>
    <row r="45" spans="1:12" x14ac:dyDescent="0.3">
      <c r="A45" t="s">
        <v>113</v>
      </c>
      <c r="B45">
        <v>18</v>
      </c>
      <c r="C45">
        <v>18</v>
      </c>
      <c r="D45">
        <v>17.5</v>
      </c>
      <c r="E45">
        <v>17.5</v>
      </c>
      <c r="F45">
        <v>306.3</v>
      </c>
      <c r="G45">
        <v>893.2</v>
      </c>
      <c r="H45">
        <v>7816</v>
      </c>
      <c r="I45">
        <v>893.2</v>
      </c>
      <c r="J45">
        <v>7816</v>
      </c>
      <c r="K45" t="s">
        <v>91</v>
      </c>
      <c r="L45" t="s">
        <v>92</v>
      </c>
    </row>
    <row r="46" spans="1:12" x14ac:dyDescent="0.3">
      <c r="A46" s="1" t="s">
        <v>114</v>
      </c>
      <c r="B46" s="1">
        <v>18</v>
      </c>
      <c r="C46" s="1">
        <v>20</v>
      </c>
      <c r="D46" s="1">
        <v>17.5</v>
      </c>
      <c r="E46" s="1">
        <v>19.5</v>
      </c>
      <c r="F46" s="1">
        <v>341.3</v>
      </c>
      <c r="G46" s="1">
        <v>1109</v>
      </c>
      <c r="H46" s="1">
        <v>10813</v>
      </c>
      <c r="I46" s="1">
        <v>995.3</v>
      </c>
      <c r="J46" s="1">
        <v>8709</v>
      </c>
      <c r="K46" s="1" t="s">
        <v>91</v>
      </c>
      <c r="L46" s="1" t="s">
        <v>92</v>
      </c>
    </row>
    <row r="47" spans="1:12" x14ac:dyDescent="0.3">
      <c r="A47" t="s">
        <v>115</v>
      </c>
      <c r="B47">
        <v>20</v>
      </c>
      <c r="C47">
        <v>20</v>
      </c>
      <c r="D47">
        <v>19.5</v>
      </c>
      <c r="E47">
        <v>19.5</v>
      </c>
      <c r="F47">
        <v>380.3</v>
      </c>
      <c r="G47">
        <v>1236</v>
      </c>
      <c r="H47">
        <v>12049</v>
      </c>
      <c r="I47">
        <v>1236</v>
      </c>
      <c r="J47">
        <v>12049</v>
      </c>
      <c r="K47" t="s">
        <v>91</v>
      </c>
      <c r="L47" t="s">
        <v>92</v>
      </c>
    </row>
    <row r="48" spans="1:12" x14ac:dyDescent="0.3">
      <c r="A48" s="1" t="s">
        <v>116</v>
      </c>
      <c r="B48" s="1">
        <v>20</v>
      </c>
      <c r="C48" s="1">
        <v>22</v>
      </c>
      <c r="D48" s="1">
        <v>19.5</v>
      </c>
      <c r="E48" s="1">
        <v>21.5</v>
      </c>
      <c r="F48" s="1">
        <v>419.3</v>
      </c>
      <c r="G48" s="1">
        <v>1502</v>
      </c>
      <c r="H48" s="1">
        <v>16150</v>
      </c>
      <c r="I48" s="1">
        <v>1363</v>
      </c>
      <c r="J48" s="1">
        <v>13285</v>
      </c>
      <c r="K48" s="1" t="s">
        <v>91</v>
      </c>
      <c r="L48" s="1" t="s">
        <v>92</v>
      </c>
    </row>
    <row r="49" spans="1:12" x14ac:dyDescent="0.3">
      <c r="A49" t="s">
        <v>117</v>
      </c>
      <c r="B49">
        <v>22</v>
      </c>
      <c r="C49">
        <v>22</v>
      </c>
      <c r="D49">
        <v>21.5</v>
      </c>
      <c r="E49">
        <v>21.5</v>
      </c>
      <c r="F49">
        <v>462.3</v>
      </c>
      <c r="G49">
        <v>1656</v>
      </c>
      <c r="H49">
        <v>17806</v>
      </c>
      <c r="I49">
        <v>1656</v>
      </c>
      <c r="J49">
        <v>17806</v>
      </c>
      <c r="K49" t="s">
        <v>91</v>
      </c>
      <c r="L49" t="s">
        <v>92</v>
      </c>
    </row>
    <row r="50" spans="1:12" x14ac:dyDescent="0.3">
      <c r="A50" s="1" t="s">
        <v>118</v>
      </c>
      <c r="B50" s="1">
        <v>22</v>
      </c>
      <c r="C50" s="1">
        <v>24</v>
      </c>
      <c r="D50" s="1">
        <v>21.5</v>
      </c>
      <c r="E50" s="1">
        <v>23.5</v>
      </c>
      <c r="F50" s="1">
        <v>505.3</v>
      </c>
      <c r="G50" s="1">
        <v>1979</v>
      </c>
      <c r="H50" s="1">
        <v>23252</v>
      </c>
      <c r="I50" s="1">
        <v>1810</v>
      </c>
      <c r="J50" s="1">
        <v>19463</v>
      </c>
      <c r="K50" s="1" t="s">
        <v>91</v>
      </c>
      <c r="L50" s="1" t="s">
        <v>92</v>
      </c>
    </row>
    <row r="51" spans="1:12" x14ac:dyDescent="0.3">
      <c r="A51" s="2" t="s">
        <v>119</v>
      </c>
      <c r="B51" s="2">
        <v>24</v>
      </c>
      <c r="C51" s="2">
        <v>24</v>
      </c>
      <c r="D51" s="2">
        <v>23.5</v>
      </c>
      <c r="E51" s="2">
        <v>23.5</v>
      </c>
      <c r="F51" s="2">
        <v>552.29999999999995</v>
      </c>
      <c r="G51" s="2">
        <v>2163</v>
      </c>
      <c r="H51" s="2">
        <v>25415</v>
      </c>
      <c r="I51" s="2">
        <v>2163</v>
      </c>
      <c r="J51" s="2">
        <v>25415</v>
      </c>
      <c r="K51" s="2" t="s">
        <v>91</v>
      </c>
      <c r="L51" s="2" t="s">
        <v>92</v>
      </c>
    </row>
    <row r="52" spans="1:12" x14ac:dyDescent="0.3">
      <c r="A52" t="s">
        <v>95</v>
      </c>
      <c r="B52">
        <v>6</v>
      </c>
      <c r="C52">
        <v>10</v>
      </c>
      <c r="D52">
        <v>5.5</v>
      </c>
      <c r="E52">
        <v>9.5</v>
      </c>
      <c r="F52">
        <v>52.25</v>
      </c>
      <c r="G52">
        <v>82.73</v>
      </c>
      <c r="H52">
        <v>393</v>
      </c>
      <c r="I52">
        <v>47.9</v>
      </c>
      <c r="J52">
        <v>131.69999999999999</v>
      </c>
      <c r="K52" t="s">
        <v>120</v>
      </c>
      <c r="L52" t="s">
        <v>92</v>
      </c>
    </row>
    <row r="53" spans="1:12" x14ac:dyDescent="0.3">
      <c r="A53" t="s">
        <v>96</v>
      </c>
      <c r="B53">
        <v>6</v>
      </c>
      <c r="C53">
        <v>12</v>
      </c>
      <c r="D53">
        <v>5.5</v>
      </c>
      <c r="E53">
        <v>11.5</v>
      </c>
      <c r="F53">
        <v>63.25</v>
      </c>
      <c r="G53">
        <v>121.2</v>
      </c>
      <c r="H53">
        <v>697.1</v>
      </c>
      <c r="I53">
        <v>57.98</v>
      </c>
      <c r="J53">
        <v>159.4</v>
      </c>
      <c r="K53" t="s">
        <v>120</v>
      </c>
      <c r="L53" t="s">
        <v>92</v>
      </c>
    </row>
    <row r="54" spans="1:12" x14ac:dyDescent="0.3">
      <c r="A54" t="s">
        <v>97</v>
      </c>
      <c r="B54">
        <v>6</v>
      </c>
      <c r="C54">
        <v>14</v>
      </c>
      <c r="D54">
        <v>5.5</v>
      </c>
      <c r="E54">
        <v>13.5</v>
      </c>
      <c r="F54">
        <v>74.25</v>
      </c>
      <c r="G54">
        <v>167.1</v>
      </c>
      <c r="H54">
        <v>1128</v>
      </c>
      <c r="I54">
        <v>68.06</v>
      </c>
      <c r="J54">
        <v>187.2</v>
      </c>
      <c r="K54" t="s">
        <v>120</v>
      </c>
      <c r="L54" t="s">
        <v>92</v>
      </c>
    </row>
    <row r="55" spans="1:12" x14ac:dyDescent="0.3">
      <c r="A55" t="s">
        <v>98</v>
      </c>
      <c r="B55">
        <v>6</v>
      </c>
      <c r="C55">
        <v>16</v>
      </c>
      <c r="D55">
        <v>5.5</v>
      </c>
      <c r="E55">
        <v>15.5</v>
      </c>
      <c r="F55">
        <v>85.25</v>
      </c>
      <c r="G55">
        <v>220.2</v>
      </c>
      <c r="H55">
        <v>1707</v>
      </c>
      <c r="I55">
        <v>78.150000000000006</v>
      </c>
      <c r="J55">
        <v>214.9</v>
      </c>
      <c r="K55" t="s">
        <v>120</v>
      </c>
      <c r="L55" t="s">
        <v>92</v>
      </c>
    </row>
    <row r="56" spans="1:12" x14ac:dyDescent="0.3">
      <c r="A56" t="s">
        <v>99</v>
      </c>
      <c r="B56">
        <v>6</v>
      </c>
      <c r="C56">
        <v>18</v>
      </c>
      <c r="D56">
        <v>5.5</v>
      </c>
      <c r="E56">
        <v>17.5</v>
      </c>
      <c r="F56">
        <v>96.25</v>
      </c>
      <c r="G56">
        <v>280.7</v>
      </c>
      <c r="H56">
        <v>2456</v>
      </c>
      <c r="I56">
        <v>88.23</v>
      </c>
      <c r="J56">
        <v>242.6</v>
      </c>
      <c r="K56" t="s">
        <v>120</v>
      </c>
      <c r="L56" t="s">
        <v>92</v>
      </c>
    </row>
    <row r="57" spans="1:12" x14ac:dyDescent="0.3">
      <c r="A57" t="s">
        <v>100</v>
      </c>
      <c r="B57">
        <v>6</v>
      </c>
      <c r="C57">
        <v>20</v>
      </c>
      <c r="D57">
        <v>5.5</v>
      </c>
      <c r="E57">
        <v>19.5</v>
      </c>
      <c r="F57">
        <v>107.3</v>
      </c>
      <c r="G57">
        <v>348.6</v>
      </c>
      <c r="H57">
        <v>3398</v>
      </c>
      <c r="I57">
        <v>98.31</v>
      </c>
      <c r="J57">
        <v>270.39999999999998</v>
      </c>
      <c r="K57" t="s">
        <v>120</v>
      </c>
      <c r="L57" t="s">
        <v>92</v>
      </c>
    </row>
    <row r="58" spans="1:12" x14ac:dyDescent="0.3">
      <c r="A58" t="s">
        <v>101</v>
      </c>
      <c r="B58">
        <v>6</v>
      </c>
      <c r="C58">
        <v>22</v>
      </c>
      <c r="D58">
        <v>5.5</v>
      </c>
      <c r="E58">
        <v>21.5</v>
      </c>
      <c r="F58">
        <v>118.3</v>
      </c>
      <c r="G58">
        <v>423.7</v>
      </c>
      <c r="H58">
        <v>4555</v>
      </c>
      <c r="I58">
        <v>108.4</v>
      </c>
      <c r="J58">
        <v>298.10000000000002</v>
      </c>
      <c r="K58" t="s">
        <v>120</v>
      </c>
      <c r="L58" t="s">
        <v>92</v>
      </c>
    </row>
    <row r="59" spans="1:12" x14ac:dyDescent="0.3">
      <c r="A59" s="1" t="s">
        <v>102</v>
      </c>
      <c r="B59" s="1">
        <v>6</v>
      </c>
      <c r="C59" s="1">
        <v>24</v>
      </c>
      <c r="D59" s="1">
        <v>5.5</v>
      </c>
      <c r="E59" s="1">
        <v>23.5</v>
      </c>
      <c r="F59" s="1">
        <v>129.30000000000001</v>
      </c>
      <c r="G59" s="1">
        <v>506.2</v>
      </c>
      <c r="H59" s="1">
        <v>5948</v>
      </c>
      <c r="I59" s="1">
        <v>118.5</v>
      </c>
      <c r="J59" s="1">
        <v>325.8</v>
      </c>
      <c r="K59" s="1" t="s">
        <v>120</v>
      </c>
      <c r="L59" s="1" t="s">
        <v>92</v>
      </c>
    </row>
    <row r="60" spans="1:12" x14ac:dyDescent="0.3">
      <c r="A60" t="s">
        <v>121</v>
      </c>
      <c r="B60">
        <v>8</v>
      </c>
      <c r="C60">
        <v>12</v>
      </c>
      <c r="D60">
        <v>7.5</v>
      </c>
      <c r="E60">
        <v>11.5</v>
      </c>
      <c r="F60">
        <v>86.3</v>
      </c>
      <c r="G60">
        <v>165.3</v>
      </c>
      <c r="H60">
        <v>950.5</v>
      </c>
      <c r="I60">
        <v>107.8</v>
      </c>
      <c r="J60">
        <v>404.3</v>
      </c>
      <c r="K60" t="s">
        <v>120</v>
      </c>
      <c r="L60" t="s">
        <v>92</v>
      </c>
    </row>
    <row r="61" spans="1:12" x14ac:dyDescent="0.3">
      <c r="A61" t="s">
        <v>122</v>
      </c>
      <c r="B61">
        <v>8</v>
      </c>
      <c r="C61">
        <v>14</v>
      </c>
      <c r="D61">
        <v>7.5</v>
      </c>
      <c r="E61">
        <v>13.5</v>
      </c>
      <c r="F61">
        <v>101.3</v>
      </c>
      <c r="G61">
        <v>227.8</v>
      </c>
      <c r="H61">
        <v>1538</v>
      </c>
      <c r="I61">
        <v>126.6</v>
      </c>
      <c r="J61">
        <v>474.6</v>
      </c>
      <c r="K61" t="s">
        <v>120</v>
      </c>
      <c r="L61" t="s">
        <v>92</v>
      </c>
    </row>
    <row r="62" spans="1:12" x14ac:dyDescent="0.3">
      <c r="A62" t="s">
        <v>123</v>
      </c>
      <c r="B62">
        <v>8</v>
      </c>
      <c r="C62">
        <v>16</v>
      </c>
      <c r="D62">
        <v>7.5</v>
      </c>
      <c r="E62">
        <v>15.5</v>
      </c>
      <c r="F62">
        <v>116.3</v>
      </c>
      <c r="G62">
        <v>300.3</v>
      </c>
      <c r="H62">
        <v>2327</v>
      </c>
      <c r="I62">
        <v>145.30000000000001</v>
      </c>
      <c r="J62">
        <v>544.9</v>
      </c>
      <c r="K62" t="s">
        <v>120</v>
      </c>
      <c r="L62" t="s">
        <v>92</v>
      </c>
    </row>
    <row r="63" spans="1:12" x14ac:dyDescent="0.3">
      <c r="A63" t="s">
        <v>124</v>
      </c>
      <c r="B63">
        <v>8</v>
      </c>
      <c r="C63">
        <v>18</v>
      </c>
      <c r="D63">
        <v>7.5</v>
      </c>
      <c r="E63">
        <v>17.5</v>
      </c>
      <c r="F63">
        <v>131.30000000000001</v>
      </c>
      <c r="G63">
        <v>382.8</v>
      </c>
      <c r="H63">
        <v>3350</v>
      </c>
      <c r="I63">
        <v>164.1</v>
      </c>
      <c r="J63">
        <v>615.20000000000005</v>
      </c>
      <c r="K63" t="s">
        <v>120</v>
      </c>
      <c r="L63" t="s">
        <v>92</v>
      </c>
    </row>
    <row r="64" spans="1:12" x14ac:dyDescent="0.3">
      <c r="A64" t="s">
        <v>125</v>
      </c>
      <c r="B64">
        <v>8</v>
      </c>
      <c r="C64">
        <v>20</v>
      </c>
      <c r="D64">
        <v>7.5</v>
      </c>
      <c r="E64">
        <v>19.5</v>
      </c>
      <c r="F64">
        <v>146.30000000000001</v>
      </c>
      <c r="G64">
        <v>475.3</v>
      </c>
      <c r="H64">
        <v>4634</v>
      </c>
      <c r="I64">
        <v>182.8</v>
      </c>
      <c r="J64">
        <v>685.5</v>
      </c>
      <c r="K64" t="s">
        <v>120</v>
      </c>
      <c r="L64" t="s">
        <v>92</v>
      </c>
    </row>
    <row r="65" spans="1:12" x14ac:dyDescent="0.3">
      <c r="A65" t="s">
        <v>126</v>
      </c>
      <c r="B65">
        <v>8</v>
      </c>
      <c r="C65">
        <v>22</v>
      </c>
      <c r="D65">
        <v>7.5</v>
      </c>
      <c r="E65">
        <v>21.5</v>
      </c>
      <c r="F65">
        <v>161.30000000000001</v>
      </c>
      <c r="G65">
        <v>577.79999999999995</v>
      </c>
      <c r="H65">
        <v>6211</v>
      </c>
      <c r="I65">
        <v>201.6</v>
      </c>
      <c r="J65">
        <v>755.9</v>
      </c>
      <c r="K65" t="s">
        <v>120</v>
      </c>
      <c r="L65" t="s">
        <v>92</v>
      </c>
    </row>
    <row r="66" spans="1:12" x14ac:dyDescent="0.3">
      <c r="A66" s="1" t="s">
        <v>127</v>
      </c>
      <c r="B66" s="1">
        <v>8</v>
      </c>
      <c r="C66" s="1">
        <v>24</v>
      </c>
      <c r="D66" s="1">
        <v>7.5</v>
      </c>
      <c r="E66" s="1">
        <v>23.5</v>
      </c>
      <c r="F66" s="1">
        <v>176.3</v>
      </c>
      <c r="G66" s="1">
        <v>690.3</v>
      </c>
      <c r="H66" s="1">
        <v>8111</v>
      </c>
      <c r="I66" s="1">
        <v>220.3</v>
      </c>
      <c r="J66" s="1">
        <v>826.2</v>
      </c>
      <c r="K66" s="1" t="s">
        <v>120</v>
      </c>
      <c r="L66" s="1" t="s">
        <v>92</v>
      </c>
    </row>
    <row r="67" spans="1:12" x14ac:dyDescent="0.3">
      <c r="A67" t="s">
        <v>128</v>
      </c>
      <c r="B67">
        <v>10</v>
      </c>
      <c r="C67">
        <v>14</v>
      </c>
      <c r="D67">
        <v>9.5</v>
      </c>
      <c r="E67">
        <v>13.5</v>
      </c>
      <c r="F67">
        <v>128.30000000000001</v>
      </c>
      <c r="G67">
        <v>288.60000000000002</v>
      </c>
      <c r="H67">
        <v>1948</v>
      </c>
      <c r="I67">
        <v>203.1</v>
      </c>
      <c r="J67">
        <v>964.5</v>
      </c>
      <c r="K67" t="s">
        <v>120</v>
      </c>
      <c r="L67" t="s">
        <v>92</v>
      </c>
    </row>
    <row r="68" spans="1:12" x14ac:dyDescent="0.3">
      <c r="A68" t="s">
        <v>129</v>
      </c>
      <c r="B68">
        <v>10</v>
      </c>
      <c r="C68">
        <v>16</v>
      </c>
      <c r="D68">
        <v>9.5</v>
      </c>
      <c r="E68">
        <v>15.5</v>
      </c>
      <c r="F68">
        <v>147.30000000000001</v>
      </c>
      <c r="G68">
        <v>380.4</v>
      </c>
      <c r="H68">
        <v>2948</v>
      </c>
      <c r="I68">
        <v>233.1</v>
      </c>
      <c r="J68">
        <v>1107</v>
      </c>
      <c r="K68" t="s">
        <v>120</v>
      </c>
      <c r="L68" t="s">
        <v>92</v>
      </c>
    </row>
    <row r="69" spans="1:12" x14ac:dyDescent="0.3">
      <c r="A69" t="s">
        <v>130</v>
      </c>
      <c r="B69">
        <v>10</v>
      </c>
      <c r="C69">
        <v>18</v>
      </c>
      <c r="D69">
        <v>9.5</v>
      </c>
      <c r="E69">
        <v>17.5</v>
      </c>
      <c r="F69">
        <v>166.3</v>
      </c>
      <c r="G69">
        <v>484.9</v>
      </c>
      <c r="H69">
        <v>4243</v>
      </c>
      <c r="I69">
        <v>263.2</v>
      </c>
      <c r="J69">
        <v>1250</v>
      </c>
      <c r="K69" t="s">
        <v>120</v>
      </c>
      <c r="L69" t="s">
        <v>92</v>
      </c>
    </row>
    <row r="70" spans="1:12" x14ac:dyDescent="0.3">
      <c r="A70" t="s">
        <v>131</v>
      </c>
      <c r="B70">
        <v>10</v>
      </c>
      <c r="C70">
        <v>20</v>
      </c>
      <c r="D70">
        <v>9.5</v>
      </c>
      <c r="E70">
        <v>19.5</v>
      </c>
      <c r="F70">
        <v>185.3</v>
      </c>
      <c r="G70">
        <v>602.1</v>
      </c>
      <c r="H70">
        <v>5870</v>
      </c>
      <c r="I70">
        <v>293.3</v>
      </c>
      <c r="J70">
        <v>1393</v>
      </c>
      <c r="K70" t="s">
        <v>120</v>
      </c>
      <c r="L70" t="s">
        <v>92</v>
      </c>
    </row>
    <row r="71" spans="1:12" x14ac:dyDescent="0.3">
      <c r="A71" t="s">
        <v>132</v>
      </c>
      <c r="B71">
        <v>10</v>
      </c>
      <c r="C71">
        <v>22</v>
      </c>
      <c r="D71">
        <v>9.5</v>
      </c>
      <c r="E71">
        <v>21.5</v>
      </c>
      <c r="F71">
        <v>204.3</v>
      </c>
      <c r="G71">
        <v>731.9</v>
      </c>
      <c r="H71">
        <v>7868</v>
      </c>
      <c r="I71">
        <v>323.39999999999998</v>
      </c>
      <c r="J71">
        <v>1536</v>
      </c>
      <c r="K71" t="s">
        <v>120</v>
      </c>
      <c r="L71" t="s">
        <v>92</v>
      </c>
    </row>
    <row r="72" spans="1:12" x14ac:dyDescent="0.3">
      <c r="A72" s="1" t="s">
        <v>133</v>
      </c>
      <c r="B72" s="1">
        <v>10</v>
      </c>
      <c r="C72" s="1">
        <v>24</v>
      </c>
      <c r="D72" s="1">
        <v>9.5</v>
      </c>
      <c r="E72" s="1">
        <v>23.5</v>
      </c>
      <c r="F72" s="1">
        <v>223.3</v>
      </c>
      <c r="G72" s="1">
        <v>874.4</v>
      </c>
      <c r="H72" s="1">
        <v>10274</v>
      </c>
      <c r="I72" s="1">
        <v>353.5</v>
      </c>
      <c r="J72" s="1">
        <v>1679</v>
      </c>
      <c r="K72" s="1" t="s">
        <v>120</v>
      </c>
      <c r="L72" s="1" t="s">
        <v>92</v>
      </c>
    </row>
    <row r="73" spans="1:12" x14ac:dyDescent="0.3">
      <c r="A73" t="s">
        <v>134</v>
      </c>
      <c r="B73">
        <v>12</v>
      </c>
      <c r="C73">
        <v>16</v>
      </c>
      <c r="D73">
        <v>11.5</v>
      </c>
      <c r="E73">
        <v>15.5</v>
      </c>
      <c r="F73">
        <v>178.3</v>
      </c>
      <c r="G73">
        <v>460.5</v>
      </c>
      <c r="H73">
        <v>3569</v>
      </c>
      <c r="I73">
        <v>341.6</v>
      </c>
      <c r="J73">
        <v>1964</v>
      </c>
      <c r="K73" t="s">
        <v>120</v>
      </c>
      <c r="L73" t="s">
        <v>92</v>
      </c>
    </row>
    <row r="74" spans="1:12" x14ac:dyDescent="0.3">
      <c r="A74" t="s">
        <v>135</v>
      </c>
      <c r="B74">
        <v>12</v>
      </c>
      <c r="C74">
        <v>18</v>
      </c>
      <c r="D74">
        <v>11.5</v>
      </c>
      <c r="E74">
        <v>17.5</v>
      </c>
      <c r="F74">
        <v>201.3</v>
      </c>
      <c r="G74">
        <v>587</v>
      </c>
      <c r="H74">
        <v>5136</v>
      </c>
      <c r="I74">
        <v>385.7</v>
      </c>
      <c r="J74">
        <v>2218</v>
      </c>
      <c r="K74" t="s">
        <v>120</v>
      </c>
      <c r="L74" t="s">
        <v>92</v>
      </c>
    </row>
    <row r="75" spans="1:12" x14ac:dyDescent="0.3">
      <c r="A75" t="s">
        <v>136</v>
      </c>
      <c r="B75">
        <v>12</v>
      </c>
      <c r="C75">
        <v>20</v>
      </c>
      <c r="D75">
        <v>11.5</v>
      </c>
      <c r="E75">
        <v>19.5</v>
      </c>
      <c r="F75">
        <v>224.3</v>
      </c>
      <c r="G75">
        <v>728.8</v>
      </c>
      <c r="H75">
        <v>7106</v>
      </c>
      <c r="I75">
        <v>429.8</v>
      </c>
      <c r="J75">
        <v>2471</v>
      </c>
      <c r="K75" t="s">
        <v>120</v>
      </c>
      <c r="L75" t="s">
        <v>92</v>
      </c>
    </row>
    <row r="76" spans="1:12" x14ac:dyDescent="0.3">
      <c r="A76" t="s">
        <v>137</v>
      </c>
      <c r="B76">
        <v>12</v>
      </c>
      <c r="C76">
        <v>22</v>
      </c>
      <c r="D76">
        <v>11.5</v>
      </c>
      <c r="E76">
        <v>21.5</v>
      </c>
      <c r="F76">
        <v>247.3</v>
      </c>
      <c r="G76">
        <v>886</v>
      </c>
      <c r="H76">
        <v>9524</v>
      </c>
      <c r="I76">
        <v>473.9</v>
      </c>
      <c r="J76">
        <v>2725</v>
      </c>
      <c r="K76" t="s">
        <v>120</v>
      </c>
      <c r="L76" t="s">
        <v>92</v>
      </c>
    </row>
    <row r="77" spans="1:12" x14ac:dyDescent="0.3">
      <c r="A77" s="1" t="s">
        <v>138</v>
      </c>
      <c r="B77" s="1">
        <v>12</v>
      </c>
      <c r="C77" s="1">
        <v>24</v>
      </c>
      <c r="D77" s="1">
        <v>11.5</v>
      </c>
      <c r="E77" s="1">
        <v>23.5</v>
      </c>
      <c r="F77" s="1">
        <v>270.3</v>
      </c>
      <c r="G77" s="1">
        <v>1058</v>
      </c>
      <c r="H77" s="1">
        <v>12437</v>
      </c>
      <c r="I77" s="1">
        <v>518</v>
      </c>
      <c r="J77" s="1">
        <v>2978</v>
      </c>
      <c r="K77" s="1" t="s">
        <v>120</v>
      </c>
      <c r="L77" s="1" t="s">
        <v>92</v>
      </c>
    </row>
    <row r="78" spans="1:12" x14ac:dyDescent="0.3">
      <c r="A78" t="s">
        <v>139</v>
      </c>
      <c r="B78">
        <v>14</v>
      </c>
      <c r="C78">
        <v>18</v>
      </c>
      <c r="D78">
        <v>13.5</v>
      </c>
      <c r="E78">
        <v>17.5</v>
      </c>
      <c r="F78">
        <v>236.3</v>
      </c>
      <c r="G78">
        <v>689.1</v>
      </c>
      <c r="H78">
        <v>6029</v>
      </c>
      <c r="I78">
        <v>531.6</v>
      </c>
      <c r="J78">
        <v>3588</v>
      </c>
      <c r="K78" t="s">
        <v>120</v>
      </c>
      <c r="L78" t="s">
        <v>92</v>
      </c>
    </row>
    <row r="79" spans="1:12" x14ac:dyDescent="0.3">
      <c r="A79" t="s">
        <v>140</v>
      </c>
      <c r="B79">
        <v>14</v>
      </c>
      <c r="C79">
        <v>20</v>
      </c>
      <c r="D79">
        <v>13.5</v>
      </c>
      <c r="E79">
        <v>19.5</v>
      </c>
      <c r="F79">
        <v>263.3</v>
      </c>
      <c r="G79">
        <v>855.6</v>
      </c>
      <c r="H79">
        <v>8342</v>
      </c>
      <c r="I79">
        <v>592.29999999999995</v>
      </c>
      <c r="J79">
        <v>3998</v>
      </c>
      <c r="K79" t="s">
        <v>120</v>
      </c>
      <c r="L79" t="s">
        <v>92</v>
      </c>
    </row>
    <row r="80" spans="1:12" x14ac:dyDescent="0.3">
      <c r="A80" t="s">
        <v>141</v>
      </c>
      <c r="B80">
        <v>14</v>
      </c>
      <c r="C80">
        <v>22</v>
      </c>
      <c r="D80">
        <v>13.5</v>
      </c>
      <c r="E80">
        <v>21.5</v>
      </c>
      <c r="F80">
        <v>290.3</v>
      </c>
      <c r="G80">
        <v>1040</v>
      </c>
      <c r="H80">
        <v>11181</v>
      </c>
      <c r="I80">
        <v>653.1</v>
      </c>
      <c r="J80">
        <v>4408</v>
      </c>
      <c r="K80" t="s">
        <v>120</v>
      </c>
      <c r="L80" t="s">
        <v>92</v>
      </c>
    </row>
    <row r="81" spans="1:12" x14ac:dyDescent="0.3">
      <c r="A81" s="1" t="s">
        <v>142</v>
      </c>
      <c r="B81" s="1">
        <v>14</v>
      </c>
      <c r="C81" s="1">
        <v>24</v>
      </c>
      <c r="D81" s="1">
        <v>13.5</v>
      </c>
      <c r="E81" s="1">
        <v>23.5</v>
      </c>
      <c r="F81" s="1">
        <v>317.3</v>
      </c>
      <c r="G81" s="1">
        <v>1243</v>
      </c>
      <c r="H81" s="1">
        <v>14600</v>
      </c>
      <c r="I81" s="1">
        <v>713.8</v>
      </c>
      <c r="J81" s="1">
        <v>4818</v>
      </c>
      <c r="K81" s="1" t="s">
        <v>120</v>
      </c>
      <c r="L81" s="1" t="s">
        <v>92</v>
      </c>
    </row>
    <row r="82" spans="1:12" x14ac:dyDescent="0.3">
      <c r="A82" t="s">
        <v>143</v>
      </c>
      <c r="B82">
        <v>16</v>
      </c>
      <c r="C82">
        <v>20</v>
      </c>
      <c r="D82">
        <v>15.5</v>
      </c>
      <c r="E82">
        <v>19.5</v>
      </c>
      <c r="F82">
        <v>302.3</v>
      </c>
      <c r="G82">
        <v>982.3</v>
      </c>
      <c r="H82">
        <v>9578</v>
      </c>
      <c r="I82">
        <v>780.8</v>
      </c>
      <c r="J82">
        <v>6051</v>
      </c>
      <c r="K82" t="s">
        <v>120</v>
      </c>
      <c r="L82" t="s">
        <v>92</v>
      </c>
    </row>
    <row r="83" spans="1:12" x14ac:dyDescent="0.3">
      <c r="A83" t="s">
        <v>144</v>
      </c>
      <c r="B83">
        <v>16</v>
      </c>
      <c r="C83">
        <v>22</v>
      </c>
      <c r="D83">
        <v>15.5</v>
      </c>
      <c r="E83">
        <v>21.5</v>
      </c>
      <c r="F83">
        <v>333.3</v>
      </c>
      <c r="G83">
        <v>1194</v>
      </c>
      <c r="H83">
        <v>12837</v>
      </c>
      <c r="I83">
        <v>860.9</v>
      </c>
      <c r="J83">
        <v>6672</v>
      </c>
      <c r="K83" t="s">
        <v>120</v>
      </c>
      <c r="L83" t="s">
        <v>92</v>
      </c>
    </row>
    <row r="84" spans="1:12" x14ac:dyDescent="0.3">
      <c r="A84" s="1" t="s">
        <v>145</v>
      </c>
      <c r="B84" s="1">
        <v>16</v>
      </c>
      <c r="C84" s="1">
        <v>24</v>
      </c>
      <c r="D84" s="1">
        <v>15.5</v>
      </c>
      <c r="E84" s="1">
        <v>23.5</v>
      </c>
      <c r="F84" s="1">
        <v>364.3</v>
      </c>
      <c r="G84" s="1">
        <v>1427</v>
      </c>
      <c r="H84" s="1">
        <v>16763</v>
      </c>
      <c r="I84" s="1">
        <v>941</v>
      </c>
      <c r="J84" s="1">
        <v>7293</v>
      </c>
      <c r="K84" s="1" t="s">
        <v>120</v>
      </c>
      <c r="L84" s="1" t="s">
        <v>92</v>
      </c>
    </row>
    <row r="85" spans="1:12" x14ac:dyDescent="0.3">
      <c r="A85" t="s">
        <v>146</v>
      </c>
      <c r="B85">
        <v>18</v>
      </c>
      <c r="C85">
        <v>22</v>
      </c>
      <c r="D85">
        <v>17.5</v>
      </c>
      <c r="E85">
        <v>21.5</v>
      </c>
      <c r="F85">
        <v>376.3</v>
      </c>
      <c r="G85">
        <v>1348</v>
      </c>
      <c r="H85">
        <v>14493</v>
      </c>
      <c r="I85">
        <v>1097</v>
      </c>
      <c r="J85">
        <v>9602</v>
      </c>
      <c r="K85" t="s">
        <v>120</v>
      </c>
      <c r="L85" t="s">
        <v>92</v>
      </c>
    </row>
    <row r="86" spans="1:12" x14ac:dyDescent="0.3">
      <c r="A86" s="1" t="s">
        <v>147</v>
      </c>
      <c r="B86" s="1">
        <v>18</v>
      </c>
      <c r="C86" s="1">
        <v>24</v>
      </c>
      <c r="D86" s="1">
        <v>17.5</v>
      </c>
      <c r="E86" s="1">
        <v>23.5</v>
      </c>
      <c r="F86" s="1">
        <v>411.3</v>
      </c>
      <c r="G86" s="1">
        <v>1611</v>
      </c>
      <c r="H86" s="1">
        <v>18926</v>
      </c>
      <c r="I86" s="1">
        <v>1199</v>
      </c>
      <c r="J86" s="1">
        <v>10495</v>
      </c>
      <c r="K86" s="1" t="s">
        <v>120</v>
      </c>
      <c r="L86" s="1" t="s">
        <v>92</v>
      </c>
    </row>
    <row r="87" spans="1:12" x14ac:dyDescent="0.3">
      <c r="A87" t="s">
        <v>148</v>
      </c>
      <c r="B87">
        <v>20</v>
      </c>
      <c r="C87">
        <v>24</v>
      </c>
      <c r="D87">
        <v>19.5</v>
      </c>
      <c r="E87">
        <v>23.5</v>
      </c>
      <c r="F87">
        <v>458.3</v>
      </c>
      <c r="G87">
        <v>1795</v>
      </c>
      <c r="H87">
        <v>21089</v>
      </c>
      <c r="I87">
        <v>1489</v>
      </c>
      <c r="J87">
        <v>14521</v>
      </c>
      <c r="K87" t="s">
        <v>120</v>
      </c>
      <c r="L87" t="s">
        <v>92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FE3CC-34FB-4D81-944F-FA8E000E8E12}">
  <dimension ref="A1:L285"/>
  <sheetViews>
    <sheetView topLeftCell="A265" workbookViewId="0">
      <selection activeCell="A280" sqref="A280"/>
    </sheetView>
  </sheetViews>
  <sheetFormatPr defaultRowHeight="14.4" x14ac:dyDescent="0.3"/>
  <cols>
    <col min="1" max="1" width="55.5546875" customWidth="1"/>
    <col min="2" max="2" width="14.6640625" customWidth="1"/>
    <col min="12" max="12" width="17.109375" customWidth="1"/>
  </cols>
  <sheetData>
    <row r="1" spans="1:12" x14ac:dyDescent="0.3">
      <c r="A1" t="s">
        <v>151</v>
      </c>
      <c r="B1" t="s">
        <v>33</v>
      </c>
      <c r="C1" t="s">
        <v>42</v>
      </c>
      <c r="D1" t="s">
        <v>20</v>
      </c>
      <c r="E1" t="s">
        <v>22</v>
      </c>
      <c r="F1" t="s">
        <v>21</v>
      </c>
      <c r="G1" t="s">
        <v>23</v>
      </c>
      <c r="H1" t="s">
        <v>24</v>
      </c>
      <c r="I1" t="s">
        <v>25</v>
      </c>
      <c r="J1" t="s">
        <v>26</v>
      </c>
      <c r="K1" t="s">
        <v>149</v>
      </c>
      <c r="L1" t="s">
        <v>150</v>
      </c>
    </row>
    <row r="2" spans="1:12" x14ac:dyDescent="0.3">
      <c r="A2" t="s">
        <v>172</v>
      </c>
      <c r="B2" t="s">
        <v>44</v>
      </c>
      <c r="C2" t="s">
        <v>153</v>
      </c>
      <c r="D2">
        <v>1150</v>
      </c>
      <c r="E2">
        <v>625</v>
      </c>
      <c r="F2">
        <v>165</v>
      </c>
      <c r="G2">
        <v>525</v>
      </c>
      <c r="H2">
        <v>1000</v>
      </c>
      <c r="I2">
        <v>1400000</v>
      </c>
      <c r="J2">
        <v>510000</v>
      </c>
      <c r="K2">
        <v>0.47</v>
      </c>
      <c r="L2" t="s">
        <v>155</v>
      </c>
    </row>
    <row r="3" spans="1:12" x14ac:dyDescent="0.3">
      <c r="A3" t="s">
        <v>172</v>
      </c>
      <c r="B3" t="s">
        <v>35</v>
      </c>
      <c r="C3" t="s">
        <v>153</v>
      </c>
      <c r="D3">
        <v>975</v>
      </c>
      <c r="E3">
        <v>525</v>
      </c>
      <c r="F3">
        <v>165</v>
      </c>
      <c r="G3">
        <v>525</v>
      </c>
      <c r="H3">
        <v>900</v>
      </c>
      <c r="I3">
        <v>1300000</v>
      </c>
      <c r="J3">
        <v>470000</v>
      </c>
      <c r="K3">
        <v>0.47</v>
      </c>
      <c r="L3" t="s">
        <v>155</v>
      </c>
    </row>
    <row r="4" spans="1:12" x14ac:dyDescent="0.3">
      <c r="A4" t="s">
        <v>172</v>
      </c>
      <c r="B4" t="s">
        <v>36</v>
      </c>
      <c r="C4" t="s">
        <v>153</v>
      </c>
      <c r="D4">
        <v>800</v>
      </c>
      <c r="E4">
        <v>425</v>
      </c>
      <c r="F4">
        <v>165</v>
      </c>
      <c r="G4">
        <v>525</v>
      </c>
      <c r="H4">
        <v>750</v>
      </c>
      <c r="I4">
        <v>1200000</v>
      </c>
      <c r="J4">
        <v>440000</v>
      </c>
      <c r="K4">
        <v>0.47</v>
      </c>
      <c r="L4" t="s">
        <v>155</v>
      </c>
    </row>
    <row r="5" spans="1:12" x14ac:dyDescent="0.3">
      <c r="A5" t="s">
        <v>172</v>
      </c>
      <c r="B5" t="s">
        <v>37</v>
      </c>
      <c r="C5" t="s">
        <v>153</v>
      </c>
      <c r="D5">
        <v>450</v>
      </c>
      <c r="E5">
        <v>250</v>
      </c>
      <c r="F5">
        <v>165</v>
      </c>
      <c r="G5">
        <v>525</v>
      </c>
      <c r="H5">
        <v>425</v>
      </c>
      <c r="I5">
        <v>1100000</v>
      </c>
      <c r="J5">
        <v>400000</v>
      </c>
      <c r="K5">
        <v>0.47</v>
      </c>
      <c r="L5" t="s">
        <v>155</v>
      </c>
    </row>
    <row r="6" spans="1:12" x14ac:dyDescent="0.3">
      <c r="A6" t="s">
        <v>172</v>
      </c>
      <c r="B6" t="s">
        <v>38</v>
      </c>
      <c r="C6" t="s">
        <v>153</v>
      </c>
      <c r="D6">
        <v>625</v>
      </c>
      <c r="E6">
        <v>350</v>
      </c>
      <c r="F6">
        <v>165</v>
      </c>
      <c r="G6">
        <v>525</v>
      </c>
      <c r="H6">
        <v>475</v>
      </c>
      <c r="I6">
        <v>1100000</v>
      </c>
      <c r="J6">
        <v>400000</v>
      </c>
      <c r="K6">
        <v>0.47</v>
      </c>
      <c r="L6" t="s">
        <v>155</v>
      </c>
    </row>
    <row r="7" spans="1:12" x14ac:dyDescent="0.3">
      <c r="A7" t="s">
        <v>172</v>
      </c>
      <c r="B7" t="s">
        <v>19</v>
      </c>
      <c r="C7" t="s">
        <v>154</v>
      </c>
      <c r="D7">
        <v>900</v>
      </c>
      <c r="E7">
        <v>500</v>
      </c>
      <c r="F7">
        <v>165</v>
      </c>
      <c r="G7">
        <v>525</v>
      </c>
      <c r="H7">
        <v>950</v>
      </c>
      <c r="I7">
        <v>1200000</v>
      </c>
      <c r="J7">
        <v>440000</v>
      </c>
      <c r="K7">
        <v>0.47</v>
      </c>
      <c r="L7" t="s">
        <v>155</v>
      </c>
    </row>
    <row r="8" spans="1:12" x14ac:dyDescent="0.3">
      <c r="A8" t="s">
        <v>172</v>
      </c>
      <c r="B8" t="s">
        <v>152</v>
      </c>
      <c r="C8" t="s">
        <v>154</v>
      </c>
      <c r="D8">
        <v>500</v>
      </c>
      <c r="E8">
        <v>275</v>
      </c>
      <c r="F8">
        <v>165</v>
      </c>
      <c r="G8">
        <v>525</v>
      </c>
      <c r="H8">
        <v>775</v>
      </c>
      <c r="I8">
        <v>1100000</v>
      </c>
      <c r="J8">
        <v>400000</v>
      </c>
      <c r="K8">
        <v>0.47</v>
      </c>
      <c r="L8" t="s">
        <v>155</v>
      </c>
    </row>
    <row r="9" spans="1:12" x14ac:dyDescent="0.3">
      <c r="A9" s="1" t="s">
        <v>172</v>
      </c>
      <c r="B9" s="1" t="s">
        <v>40</v>
      </c>
      <c r="C9" s="1" t="s">
        <v>154</v>
      </c>
      <c r="D9" s="1">
        <v>250</v>
      </c>
      <c r="E9" s="1">
        <v>125</v>
      </c>
      <c r="F9" s="1">
        <v>165</v>
      </c>
      <c r="G9" s="1">
        <v>525</v>
      </c>
      <c r="H9" s="1">
        <v>500</v>
      </c>
      <c r="I9" s="1">
        <v>1000000</v>
      </c>
      <c r="J9" s="1">
        <v>370000</v>
      </c>
      <c r="K9" s="1">
        <v>0.47</v>
      </c>
      <c r="L9" s="1" t="s">
        <v>155</v>
      </c>
    </row>
    <row r="10" spans="1:12" x14ac:dyDescent="0.3">
      <c r="A10" t="s">
        <v>173</v>
      </c>
      <c r="B10" t="s">
        <v>44</v>
      </c>
      <c r="C10" t="s">
        <v>153</v>
      </c>
      <c r="D10">
        <v>1300</v>
      </c>
      <c r="E10">
        <v>825</v>
      </c>
      <c r="F10">
        <v>185</v>
      </c>
      <c r="G10">
        <v>440</v>
      </c>
      <c r="H10">
        <v>1200</v>
      </c>
      <c r="I10">
        <v>1700000</v>
      </c>
      <c r="J10">
        <v>620000</v>
      </c>
      <c r="K10">
        <v>0.46</v>
      </c>
      <c r="L10" t="s">
        <v>156</v>
      </c>
    </row>
    <row r="11" spans="1:12" x14ac:dyDescent="0.3">
      <c r="A11" t="s">
        <v>173</v>
      </c>
      <c r="B11" t="s">
        <v>35</v>
      </c>
      <c r="C11" t="s">
        <v>153</v>
      </c>
      <c r="D11">
        <v>900</v>
      </c>
      <c r="E11">
        <v>550</v>
      </c>
      <c r="F11">
        <v>185</v>
      </c>
      <c r="G11">
        <v>440</v>
      </c>
      <c r="H11">
        <v>1100</v>
      </c>
      <c r="I11">
        <v>1600000</v>
      </c>
      <c r="J11">
        <v>580000</v>
      </c>
      <c r="K11">
        <v>0.46</v>
      </c>
      <c r="L11" t="s">
        <v>156</v>
      </c>
    </row>
    <row r="12" spans="1:12" x14ac:dyDescent="0.3">
      <c r="A12" t="s">
        <v>173</v>
      </c>
      <c r="B12" t="s">
        <v>36</v>
      </c>
      <c r="C12" t="s">
        <v>153</v>
      </c>
      <c r="D12">
        <v>825</v>
      </c>
      <c r="E12">
        <v>475</v>
      </c>
      <c r="F12">
        <v>185</v>
      </c>
      <c r="G12">
        <v>440</v>
      </c>
      <c r="H12">
        <v>1050</v>
      </c>
      <c r="I12">
        <v>1500000</v>
      </c>
      <c r="J12">
        <v>550000</v>
      </c>
      <c r="K12">
        <v>0.46</v>
      </c>
      <c r="L12" t="s">
        <v>156</v>
      </c>
    </row>
    <row r="13" spans="1:12" x14ac:dyDescent="0.3">
      <c r="A13" t="s">
        <v>173</v>
      </c>
      <c r="B13" t="s">
        <v>37</v>
      </c>
      <c r="C13" t="s">
        <v>153</v>
      </c>
      <c r="D13">
        <v>475</v>
      </c>
      <c r="E13">
        <v>275</v>
      </c>
      <c r="F13">
        <v>185</v>
      </c>
      <c r="G13">
        <v>440</v>
      </c>
      <c r="H13">
        <v>600</v>
      </c>
      <c r="I13">
        <v>1400000</v>
      </c>
      <c r="J13">
        <v>510000</v>
      </c>
      <c r="K13">
        <v>0.46</v>
      </c>
      <c r="L13" t="s">
        <v>156</v>
      </c>
    </row>
    <row r="14" spans="1:12" x14ac:dyDescent="0.3">
      <c r="A14" t="s">
        <v>173</v>
      </c>
      <c r="B14" t="s">
        <v>38</v>
      </c>
      <c r="C14" t="s">
        <v>153</v>
      </c>
      <c r="D14">
        <v>650</v>
      </c>
      <c r="E14">
        <v>375</v>
      </c>
      <c r="F14">
        <v>185</v>
      </c>
      <c r="G14">
        <v>440</v>
      </c>
      <c r="H14">
        <v>650</v>
      </c>
      <c r="I14">
        <v>1400000</v>
      </c>
      <c r="J14">
        <v>510000</v>
      </c>
      <c r="K14">
        <v>0.46</v>
      </c>
      <c r="L14" t="s">
        <v>156</v>
      </c>
    </row>
    <row r="15" spans="1:12" x14ac:dyDescent="0.3">
      <c r="A15" t="s">
        <v>173</v>
      </c>
      <c r="B15" t="s">
        <v>19</v>
      </c>
      <c r="C15" t="s">
        <v>154</v>
      </c>
      <c r="D15">
        <v>950</v>
      </c>
      <c r="E15">
        <v>550</v>
      </c>
      <c r="F15">
        <v>185</v>
      </c>
      <c r="G15">
        <v>440</v>
      </c>
      <c r="H15">
        <v>1250</v>
      </c>
      <c r="I15">
        <v>1400000</v>
      </c>
      <c r="J15">
        <v>510000</v>
      </c>
      <c r="K15">
        <v>0.46</v>
      </c>
      <c r="L15" t="s">
        <v>156</v>
      </c>
    </row>
    <row r="16" spans="1:12" x14ac:dyDescent="0.3">
      <c r="A16" t="s">
        <v>173</v>
      </c>
      <c r="B16" t="s">
        <v>152</v>
      </c>
      <c r="C16" t="s">
        <v>154</v>
      </c>
      <c r="D16">
        <v>525</v>
      </c>
      <c r="E16">
        <v>300</v>
      </c>
      <c r="F16">
        <v>185</v>
      </c>
      <c r="G16">
        <v>440</v>
      </c>
      <c r="H16">
        <v>1050</v>
      </c>
      <c r="I16">
        <v>1300000</v>
      </c>
      <c r="J16">
        <v>470000</v>
      </c>
      <c r="K16">
        <v>0.46</v>
      </c>
      <c r="L16" t="s">
        <v>156</v>
      </c>
    </row>
    <row r="17" spans="1:12" x14ac:dyDescent="0.3">
      <c r="A17" s="1" t="s">
        <v>173</v>
      </c>
      <c r="B17" s="1" t="s">
        <v>40</v>
      </c>
      <c r="C17" s="1" t="s">
        <v>154</v>
      </c>
      <c r="D17" s="1">
        <v>250</v>
      </c>
      <c r="E17" s="1">
        <v>150</v>
      </c>
      <c r="F17" s="1">
        <v>185</v>
      </c>
      <c r="G17" s="1">
        <v>440</v>
      </c>
      <c r="H17" s="1">
        <v>700</v>
      </c>
      <c r="I17" s="1">
        <v>1200000</v>
      </c>
      <c r="J17" s="1">
        <v>440000</v>
      </c>
      <c r="K17" s="1">
        <v>0.46</v>
      </c>
      <c r="L17" s="1" t="s">
        <v>156</v>
      </c>
    </row>
    <row r="18" spans="1:12" x14ac:dyDescent="0.3">
      <c r="A18" t="s">
        <v>174</v>
      </c>
      <c r="B18" t="s">
        <v>44</v>
      </c>
      <c r="C18" t="s">
        <v>153</v>
      </c>
      <c r="D18">
        <v>1400</v>
      </c>
      <c r="E18">
        <v>900</v>
      </c>
      <c r="F18">
        <v>160</v>
      </c>
      <c r="G18">
        <v>330</v>
      </c>
      <c r="H18">
        <v>1200</v>
      </c>
      <c r="I18">
        <v>1600000</v>
      </c>
      <c r="J18">
        <v>580000</v>
      </c>
      <c r="K18">
        <v>0.41</v>
      </c>
      <c r="L18" t="s">
        <v>156</v>
      </c>
    </row>
    <row r="19" spans="1:12" x14ac:dyDescent="0.3">
      <c r="A19" t="s">
        <v>174</v>
      </c>
      <c r="B19" t="s">
        <v>35</v>
      </c>
      <c r="C19" t="s">
        <v>153</v>
      </c>
      <c r="D19">
        <v>950</v>
      </c>
      <c r="E19">
        <v>600</v>
      </c>
      <c r="F19">
        <v>160</v>
      </c>
      <c r="G19">
        <v>330</v>
      </c>
      <c r="H19">
        <v>1100</v>
      </c>
      <c r="I19">
        <v>1500000</v>
      </c>
      <c r="J19">
        <v>550000</v>
      </c>
      <c r="K19">
        <v>0.41</v>
      </c>
      <c r="L19" t="s">
        <v>156</v>
      </c>
    </row>
    <row r="20" spans="1:12" x14ac:dyDescent="0.3">
      <c r="A20" t="s">
        <v>174</v>
      </c>
      <c r="B20" t="s">
        <v>36</v>
      </c>
      <c r="C20" t="s">
        <v>153</v>
      </c>
      <c r="D20">
        <v>875</v>
      </c>
      <c r="E20">
        <v>500</v>
      </c>
      <c r="F20">
        <v>160</v>
      </c>
      <c r="G20">
        <v>330</v>
      </c>
      <c r="H20">
        <v>1050</v>
      </c>
      <c r="I20">
        <v>1400000</v>
      </c>
      <c r="J20">
        <v>510000</v>
      </c>
      <c r="K20">
        <v>0.41</v>
      </c>
      <c r="L20" t="s">
        <v>156</v>
      </c>
    </row>
    <row r="21" spans="1:12" x14ac:dyDescent="0.3">
      <c r="A21" t="s">
        <v>174</v>
      </c>
      <c r="B21" t="s">
        <v>37</v>
      </c>
      <c r="C21" t="s">
        <v>153</v>
      </c>
      <c r="D21">
        <v>500</v>
      </c>
      <c r="E21">
        <v>300</v>
      </c>
      <c r="F21">
        <v>160</v>
      </c>
      <c r="G21">
        <v>330</v>
      </c>
      <c r="H21">
        <v>600</v>
      </c>
      <c r="I21">
        <v>1300000</v>
      </c>
      <c r="J21">
        <v>470000</v>
      </c>
      <c r="K21">
        <v>0.41</v>
      </c>
      <c r="L21" t="s">
        <v>156</v>
      </c>
    </row>
    <row r="22" spans="1:12" x14ac:dyDescent="0.3">
      <c r="A22" t="s">
        <v>174</v>
      </c>
      <c r="B22" t="s">
        <v>38</v>
      </c>
      <c r="C22" t="s">
        <v>153</v>
      </c>
      <c r="D22">
        <v>675</v>
      </c>
      <c r="E22">
        <v>400</v>
      </c>
      <c r="F22">
        <v>160</v>
      </c>
      <c r="G22">
        <v>330</v>
      </c>
      <c r="H22">
        <v>675</v>
      </c>
      <c r="I22">
        <v>1300000</v>
      </c>
      <c r="J22">
        <v>470000</v>
      </c>
      <c r="K22">
        <v>0.41</v>
      </c>
      <c r="L22" t="s">
        <v>156</v>
      </c>
    </row>
    <row r="23" spans="1:12" x14ac:dyDescent="0.3">
      <c r="A23" t="s">
        <v>174</v>
      </c>
      <c r="B23" t="s">
        <v>19</v>
      </c>
      <c r="C23" t="s">
        <v>154</v>
      </c>
      <c r="D23">
        <v>1000</v>
      </c>
      <c r="E23">
        <v>575</v>
      </c>
      <c r="F23">
        <v>160</v>
      </c>
      <c r="G23">
        <v>330</v>
      </c>
      <c r="H23">
        <v>1250</v>
      </c>
      <c r="I23">
        <v>1300000</v>
      </c>
      <c r="J23">
        <v>470000</v>
      </c>
      <c r="K23">
        <v>0.41</v>
      </c>
      <c r="L23" t="s">
        <v>156</v>
      </c>
    </row>
    <row r="24" spans="1:12" x14ac:dyDescent="0.3">
      <c r="A24" t="s">
        <v>174</v>
      </c>
      <c r="B24" t="s">
        <v>152</v>
      </c>
      <c r="C24" t="s">
        <v>154</v>
      </c>
      <c r="D24">
        <v>550</v>
      </c>
      <c r="E24">
        <v>325</v>
      </c>
      <c r="F24">
        <v>160</v>
      </c>
      <c r="G24">
        <v>330</v>
      </c>
      <c r="H24">
        <v>1050</v>
      </c>
      <c r="I24">
        <v>1200000</v>
      </c>
      <c r="J24">
        <v>440000</v>
      </c>
      <c r="K24">
        <v>0.41</v>
      </c>
      <c r="L24" t="s">
        <v>156</v>
      </c>
    </row>
    <row r="25" spans="1:12" x14ac:dyDescent="0.3">
      <c r="A25" s="1" t="s">
        <v>174</v>
      </c>
      <c r="B25" s="1" t="s">
        <v>40</v>
      </c>
      <c r="C25" s="1" t="s">
        <v>154</v>
      </c>
      <c r="D25" s="1">
        <v>275</v>
      </c>
      <c r="E25" s="1">
        <v>150</v>
      </c>
      <c r="F25" s="1">
        <v>160</v>
      </c>
      <c r="G25" s="1">
        <v>330</v>
      </c>
      <c r="H25" s="1">
        <v>700</v>
      </c>
      <c r="I25" s="1">
        <v>1100000</v>
      </c>
      <c r="J25" s="1">
        <v>400000</v>
      </c>
      <c r="K25" s="1">
        <v>0.41</v>
      </c>
      <c r="L25" s="1" t="s">
        <v>156</v>
      </c>
    </row>
    <row r="26" spans="1:12" x14ac:dyDescent="0.3">
      <c r="A26" t="s">
        <v>175</v>
      </c>
      <c r="B26" t="s">
        <v>44</v>
      </c>
      <c r="C26" t="s">
        <v>153</v>
      </c>
      <c r="D26">
        <v>1350</v>
      </c>
      <c r="E26">
        <v>800</v>
      </c>
      <c r="F26">
        <v>225</v>
      </c>
      <c r="G26">
        <v>510</v>
      </c>
      <c r="H26">
        <v>1200</v>
      </c>
      <c r="I26">
        <v>1500000</v>
      </c>
      <c r="J26">
        <v>550000</v>
      </c>
      <c r="K26">
        <v>0.46</v>
      </c>
      <c r="L26" t="s">
        <v>157</v>
      </c>
    </row>
    <row r="27" spans="1:12" x14ac:dyDescent="0.3">
      <c r="A27" t="s">
        <v>175</v>
      </c>
      <c r="B27" t="s">
        <v>35</v>
      </c>
      <c r="C27" t="s">
        <v>153</v>
      </c>
      <c r="D27">
        <v>900</v>
      </c>
      <c r="E27">
        <v>525</v>
      </c>
      <c r="F27">
        <v>225</v>
      </c>
      <c r="G27">
        <v>510</v>
      </c>
      <c r="H27">
        <v>1050</v>
      </c>
      <c r="I27">
        <v>1400000</v>
      </c>
      <c r="J27">
        <v>510000</v>
      </c>
      <c r="K27">
        <v>0.46</v>
      </c>
      <c r="L27" t="s">
        <v>157</v>
      </c>
    </row>
    <row r="28" spans="1:12" x14ac:dyDescent="0.3">
      <c r="A28" t="s">
        <v>175</v>
      </c>
      <c r="B28" t="s">
        <v>36</v>
      </c>
      <c r="C28" t="s">
        <v>153</v>
      </c>
      <c r="D28">
        <v>800</v>
      </c>
      <c r="E28">
        <v>450</v>
      </c>
      <c r="F28">
        <v>225</v>
      </c>
      <c r="G28">
        <v>510</v>
      </c>
      <c r="H28">
        <v>1000</v>
      </c>
      <c r="I28">
        <v>1300000</v>
      </c>
      <c r="J28">
        <v>470000</v>
      </c>
      <c r="K28">
        <v>0.46</v>
      </c>
      <c r="L28" t="s">
        <v>157</v>
      </c>
    </row>
    <row r="29" spans="1:12" x14ac:dyDescent="0.3">
      <c r="A29" t="s">
        <v>175</v>
      </c>
      <c r="B29" t="s">
        <v>37</v>
      </c>
      <c r="C29" t="s">
        <v>153</v>
      </c>
      <c r="D29">
        <v>475</v>
      </c>
      <c r="E29">
        <v>250</v>
      </c>
      <c r="F29">
        <v>225</v>
      </c>
      <c r="G29">
        <v>510</v>
      </c>
      <c r="H29">
        <v>575</v>
      </c>
      <c r="I29">
        <v>1200000</v>
      </c>
      <c r="J29">
        <v>440000</v>
      </c>
      <c r="K29">
        <v>0.46</v>
      </c>
      <c r="L29" t="s">
        <v>157</v>
      </c>
    </row>
    <row r="30" spans="1:12" x14ac:dyDescent="0.3">
      <c r="A30" t="s">
        <v>175</v>
      </c>
      <c r="B30" t="s">
        <v>38</v>
      </c>
      <c r="C30" t="s">
        <v>153</v>
      </c>
      <c r="D30">
        <v>625</v>
      </c>
      <c r="E30">
        <v>350</v>
      </c>
      <c r="F30">
        <v>225</v>
      </c>
      <c r="G30">
        <v>510</v>
      </c>
      <c r="H30">
        <v>625</v>
      </c>
      <c r="I30">
        <v>1200000</v>
      </c>
      <c r="J30">
        <v>440000</v>
      </c>
      <c r="K30">
        <v>0.46</v>
      </c>
      <c r="L30" t="s">
        <v>157</v>
      </c>
    </row>
    <row r="31" spans="1:12" x14ac:dyDescent="0.3">
      <c r="A31" t="s">
        <v>175</v>
      </c>
      <c r="B31" t="s">
        <v>19</v>
      </c>
      <c r="C31" t="s">
        <v>154</v>
      </c>
      <c r="D31">
        <v>925</v>
      </c>
      <c r="E31">
        <v>500</v>
      </c>
      <c r="F31">
        <v>225</v>
      </c>
      <c r="G31">
        <v>510</v>
      </c>
      <c r="H31">
        <v>1250</v>
      </c>
      <c r="I31">
        <v>1300000</v>
      </c>
      <c r="J31">
        <v>470000</v>
      </c>
      <c r="K31">
        <v>0.46</v>
      </c>
      <c r="L31" t="s">
        <v>157</v>
      </c>
    </row>
    <row r="32" spans="1:12" x14ac:dyDescent="0.3">
      <c r="A32" t="s">
        <v>175</v>
      </c>
      <c r="B32" t="s">
        <v>152</v>
      </c>
      <c r="C32" t="s">
        <v>154</v>
      </c>
      <c r="D32">
        <v>500</v>
      </c>
      <c r="E32">
        <v>275</v>
      </c>
      <c r="F32">
        <v>225</v>
      </c>
      <c r="G32">
        <v>510</v>
      </c>
      <c r="H32">
        <v>1050</v>
      </c>
      <c r="I32">
        <v>1100000</v>
      </c>
      <c r="J32">
        <v>400000</v>
      </c>
      <c r="K32">
        <v>0.46</v>
      </c>
      <c r="L32" t="s">
        <v>157</v>
      </c>
    </row>
    <row r="33" spans="1:12" x14ac:dyDescent="0.3">
      <c r="A33" s="1" t="s">
        <v>175</v>
      </c>
      <c r="B33" s="1" t="s">
        <v>40</v>
      </c>
      <c r="C33" s="1" t="s">
        <v>154</v>
      </c>
      <c r="D33" s="1">
        <v>250</v>
      </c>
      <c r="E33" s="1">
        <v>125</v>
      </c>
      <c r="F33" s="1">
        <v>225</v>
      </c>
      <c r="G33" s="1">
        <v>510</v>
      </c>
      <c r="H33" s="1">
        <v>675</v>
      </c>
      <c r="I33" s="1">
        <v>1100000</v>
      </c>
      <c r="J33" s="1">
        <v>400000</v>
      </c>
      <c r="K33" s="1">
        <v>0.46</v>
      </c>
      <c r="L33" s="1" t="s">
        <v>157</v>
      </c>
    </row>
    <row r="34" spans="1:12" x14ac:dyDescent="0.3">
      <c r="A34" t="s">
        <v>176</v>
      </c>
      <c r="B34" t="s">
        <v>44</v>
      </c>
      <c r="C34" t="s">
        <v>153</v>
      </c>
      <c r="D34">
        <v>875</v>
      </c>
      <c r="E34">
        <v>500</v>
      </c>
      <c r="F34">
        <v>120</v>
      </c>
      <c r="G34">
        <v>265</v>
      </c>
      <c r="H34">
        <v>725</v>
      </c>
      <c r="I34">
        <v>1100000</v>
      </c>
      <c r="J34">
        <v>400000</v>
      </c>
      <c r="K34">
        <v>0.39</v>
      </c>
      <c r="L34" t="s">
        <v>158</v>
      </c>
    </row>
    <row r="35" spans="1:12" x14ac:dyDescent="0.3">
      <c r="A35" t="s">
        <v>176</v>
      </c>
      <c r="B35" t="s">
        <v>35</v>
      </c>
      <c r="C35" t="s">
        <v>153</v>
      </c>
      <c r="D35">
        <v>625</v>
      </c>
      <c r="E35">
        <v>375</v>
      </c>
      <c r="F35">
        <v>120</v>
      </c>
      <c r="G35">
        <v>265</v>
      </c>
      <c r="H35">
        <v>600</v>
      </c>
      <c r="I35">
        <v>1100000</v>
      </c>
      <c r="J35">
        <v>400000</v>
      </c>
      <c r="K35">
        <v>0.39</v>
      </c>
      <c r="L35" t="s">
        <v>158</v>
      </c>
    </row>
    <row r="36" spans="1:12" x14ac:dyDescent="0.3">
      <c r="A36" t="s">
        <v>176</v>
      </c>
      <c r="B36" t="s">
        <v>36</v>
      </c>
      <c r="C36" t="s">
        <v>153</v>
      </c>
      <c r="D36">
        <v>600</v>
      </c>
      <c r="E36">
        <v>350</v>
      </c>
      <c r="F36">
        <v>120</v>
      </c>
      <c r="G36">
        <v>265</v>
      </c>
      <c r="H36">
        <v>450</v>
      </c>
      <c r="I36">
        <v>1000000</v>
      </c>
      <c r="J36">
        <v>370000</v>
      </c>
      <c r="K36">
        <v>0.39</v>
      </c>
      <c r="L36" t="s">
        <v>158</v>
      </c>
    </row>
    <row r="37" spans="1:12" x14ac:dyDescent="0.3">
      <c r="A37" t="s">
        <v>176</v>
      </c>
      <c r="B37" t="s">
        <v>37</v>
      </c>
      <c r="C37" t="s">
        <v>153</v>
      </c>
      <c r="D37">
        <v>350</v>
      </c>
      <c r="E37">
        <v>200</v>
      </c>
      <c r="F37">
        <v>120</v>
      </c>
      <c r="G37">
        <v>265</v>
      </c>
      <c r="H37">
        <v>275</v>
      </c>
      <c r="I37">
        <v>900000</v>
      </c>
      <c r="J37">
        <v>330000</v>
      </c>
      <c r="K37">
        <v>0.39</v>
      </c>
      <c r="L37" t="s">
        <v>158</v>
      </c>
    </row>
    <row r="38" spans="1:12" x14ac:dyDescent="0.3">
      <c r="A38" t="s">
        <v>176</v>
      </c>
      <c r="B38" t="s">
        <v>38</v>
      </c>
      <c r="C38" t="s">
        <v>153</v>
      </c>
      <c r="D38">
        <v>475</v>
      </c>
      <c r="E38">
        <v>275</v>
      </c>
      <c r="F38">
        <v>120</v>
      </c>
      <c r="G38">
        <v>265</v>
      </c>
      <c r="H38">
        <v>300</v>
      </c>
      <c r="I38">
        <v>900000</v>
      </c>
      <c r="J38">
        <v>330000</v>
      </c>
      <c r="K38">
        <v>0.39</v>
      </c>
      <c r="L38" t="s">
        <v>158</v>
      </c>
    </row>
    <row r="39" spans="1:12" x14ac:dyDescent="0.3">
      <c r="A39" t="s">
        <v>176</v>
      </c>
      <c r="B39" t="s">
        <v>19</v>
      </c>
      <c r="C39" t="s">
        <v>154</v>
      </c>
      <c r="D39">
        <v>700</v>
      </c>
      <c r="E39">
        <v>400</v>
      </c>
      <c r="F39">
        <v>120</v>
      </c>
      <c r="G39">
        <v>265</v>
      </c>
      <c r="H39">
        <v>625</v>
      </c>
      <c r="I39">
        <v>900000</v>
      </c>
      <c r="J39">
        <v>330000</v>
      </c>
      <c r="K39">
        <v>0.39</v>
      </c>
      <c r="L39" t="s">
        <v>158</v>
      </c>
    </row>
    <row r="40" spans="1:12" x14ac:dyDescent="0.3">
      <c r="A40" t="s">
        <v>176</v>
      </c>
      <c r="B40" t="s">
        <v>152</v>
      </c>
      <c r="C40" t="s">
        <v>154</v>
      </c>
      <c r="D40">
        <v>375</v>
      </c>
      <c r="E40">
        <v>225</v>
      </c>
      <c r="F40">
        <v>120</v>
      </c>
      <c r="G40">
        <v>265</v>
      </c>
      <c r="H40">
        <v>475</v>
      </c>
      <c r="I40">
        <v>900000</v>
      </c>
      <c r="J40">
        <v>330000</v>
      </c>
      <c r="K40">
        <v>0.39</v>
      </c>
      <c r="L40" t="s">
        <v>158</v>
      </c>
    </row>
    <row r="41" spans="1:12" x14ac:dyDescent="0.3">
      <c r="A41" s="1" t="s">
        <v>176</v>
      </c>
      <c r="B41" s="1" t="s">
        <v>40</v>
      </c>
      <c r="C41" s="1" t="s">
        <v>154</v>
      </c>
      <c r="D41" s="1">
        <v>175</v>
      </c>
      <c r="E41" s="1">
        <v>100</v>
      </c>
      <c r="F41" s="1">
        <v>120</v>
      </c>
      <c r="G41" s="1">
        <v>265</v>
      </c>
      <c r="H41" s="1">
        <v>300</v>
      </c>
      <c r="I41" s="1">
        <v>800000</v>
      </c>
      <c r="J41" s="1">
        <v>290000</v>
      </c>
      <c r="K41" s="1">
        <v>0.39</v>
      </c>
      <c r="L41" s="1" t="s">
        <v>158</v>
      </c>
    </row>
    <row r="42" spans="1:12" x14ac:dyDescent="0.3">
      <c r="A42" t="s">
        <v>177</v>
      </c>
      <c r="B42" t="s">
        <v>44</v>
      </c>
      <c r="C42" t="s">
        <v>153</v>
      </c>
      <c r="D42">
        <v>1200</v>
      </c>
      <c r="E42">
        <v>650</v>
      </c>
      <c r="F42">
        <v>160</v>
      </c>
      <c r="G42">
        <v>615</v>
      </c>
      <c r="H42">
        <v>1200</v>
      </c>
      <c r="I42">
        <v>1400000</v>
      </c>
      <c r="J42">
        <v>510000</v>
      </c>
      <c r="K42">
        <v>0.47</v>
      </c>
      <c r="L42" t="s">
        <v>159</v>
      </c>
    </row>
    <row r="43" spans="1:12" x14ac:dyDescent="0.3">
      <c r="A43" t="s">
        <v>177</v>
      </c>
      <c r="B43" t="s">
        <v>35</v>
      </c>
      <c r="C43" t="s">
        <v>153</v>
      </c>
      <c r="D43">
        <v>1000</v>
      </c>
      <c r="E43">
        <v>550</v>
      </c>
      <c r="F43">
        <v>160</v>
      </c>
      <c r="G43">
        <v>615</v>
      </c>
      <c r="H43">
        <v>1050</v>
      </c>
      <c r="I43">
        <v>1400000</v>
      </c>
      <c r="J43">
        <v>510000</v>
      </c>
      <c r="K43">
        <v>0.47</v>
      </c>
      <c r="L43" t="s">
        <v>159</v>
      </c>
    </row>
    <row r="44" spans="1:12" x14ac:dyDescent="0.3">
      <c r="A44" t="s">
        <v>177</v>
      </c>
      <c r="B44" t="s">
        <v>36</v>
      </c>
      <c r="C44" t="s">
        <v>153</v>
      </c>
      <c r="D44">
        <v>825</v>
      </c>
      <c r="E44">
        <v>450</v>
      </c>
      <c r="F44">
        <v>160</v>
      </c>
      <c r="G44">
        <v>615</v>
      </c>
      <c r="H44">
        <v>900</v>
      </c>
      <c r="I44">
        <v>1300000</v>
      </c>
      <c r="J44">
        <v>470000</v>
      </c>
      <c r="K44">
        <v>0.47</v>
      </c>
      <c r="L44" t="s">
        <v>159</v>
      </c>
    </row>
    <row r="45" spans="1:12" x14ac:dyDescent="0.3">
      <c r="A45" t="s">
        <v>177</v>
      </c>
      <c r="B45" t="s">
        <v>37</v>
      </c>
      <c r="C45" t="s">
        <v>153</v>
      </c>
      <c r="D45">
        <v>475</v>
      </c>
      <c r="E45">
        <v>250</v>
      </c>
      <c r="F45">
        <v>160</v>
      </c>
      <c r="G45">
        <v>615</v>
      </c>
      <c r="H45">
        <v>525</v>
      </c>
      <c r="I45">
        <v>1200000</v>
      </c>
      <c r="J45">
        <v>440000</v>
      </c>
      <c r="K45">
        <v>0.47</v>
      </c>
      <c r="L45" t="s">
        <v>159</v>
      </c>
    </row>
    <row r="46" spans="1:12" x14ac:dyDescent="0.3">
      <c r="A46" t="s">
        <v>177</v>
      </c>
      <c r="B46" t="s">
        <v>38</v>
      </c>
      <c r="C46" t="s">
        <v>153</v>
      </c>
      <c r="D46">
        <v>650</v>
      </c>
      <c r="E46">
        <v>350</v>
      </c>
      <c r="F46">
        <v>160</v>
      </c>
      <c r="G46">
        <v>615</v>
      </c>
      <c r="H46">
        <v>575</v>
      </c>
      <c r="I46">
        <v>1200000</v>
      </c>
      <c r="J46">
        <v>440000</v>
      </c>
      <c r="K46">
        <v>0.47</v>
      </c>
      <c r="L46" t="s">
        <v>159</v>
      </c>
    </row>
    <row r="47" spans="1:12" x14ac:dyDescent="0.3">
      <c r="A47" t="s">
        <v>177</v>
      </c>
      <c r="B47" t="s">
        <v>19</v>
      </c>
      <c r="C47" t="s">
        <v>154</v>
      </c>
      <c r="D47">
        <v>925</v>
      </c>
      <c r="E47">
        <v>500</v>
      </c>
      <c r="F47">
        <v>160</v>
      </c>
      <c r="G47">
        <v>615</v>
      </c>
      <c r="H47">
        <v>1100</v>
      </c>
      <c r="I47">
        <v>1200000</v>
      </c>
      <c r="J47">
        <v>440000</v>
      </c>
      <c r="K47">
        <v>0.47</v>
      </c>
      <c r="L47" t="s">
        <v>159</v>
      </c>
    </row>
    <row r="48" spans="1:12" x14ac:dyDescent="0.3">
      <c r="A48" t="s">
        <v>177</v>
      </c>
      <c r="B48" t="s">
        <v>152</v>
      </c>
      <c r="C48" t="s">
        <v>154</v>
      </c>
      <c r="D48">
        <v>525</v>
      </c>
      <c r="E48">
        <v>275</v>
      </c>
      <c r="F48">
        <v>160</v>
      </c>
      <c r="G48">
        <v>615</v>
      </c>
      <c r="H48">
        <v>925</v>
      </c>
      <c r="I48">
        <v>1100000</v>
      </c>
      <c r="J48">
        <v>400000</v>
      </c>
      <c r="K48">
        <v>0.47</v>
      </c>
      <c r="L48" t="s">
        <v>159</v>
      </c>
    </row>
    <row r="49" spans="1:12" x14ac:dyDescent="0.3">
      <c r="A49" s="1" t="s">
        <v>177</v>
      </c>
      <c r="B49" s="1" t="s">
        <v>40</v>
      </c>
      <c r="C49" s="1" t="s">
        <v>154</v>
      </c>
      <c r="D49" s="1">
        <v>250</v>
      </c>
      <c r="E49" s="1">
        <v>125</v>
      </c>
      <c r="F49" s="1">
        <v>160</v>
      </c>
      <c r="G49" s="1">
        <v>615</v>
      </c>
      <c r="H49" s="1">
        <v>600</v>
      </c>
      <c r="I49" s="1">
        <v>1000000</v>
      </c>
      <c r="J49" s="1">
        <v>370000</v>
      </c>
      <c r="K49" s="1">
        <v>0.47</v>
      </c>
      <c r="L49" s="1" t="s">
        <v>159</v>
      </c>
    </row>
    <row r="50" spans="1:12" x14ac:dyDescent="0.3">
      <c r="A50" t="s">
        <v>178</v>
      </c>
      <c r="B50" t="s">
        <v>44</v>
      </c>
      <c r="C50" t="s">
        <v>153</v>
      </c>
      <c r="D50">
        <v>1450</v>
      </c>
      <c r="E50">
        <v>850</v>
      </c>
      <c r="F50">
        <v>195</v>
      </c>
      <c r="G50">
        <v>715</v>
      </c>
      <c r="H50">
        <v>1200</v>
      </c>
      <c r="I50">
        <v>1700000</v>
      </c>
      <c r="J50">
        <v>620000</v>
      </c>
      <c r="K50">
        <v>0.71</v>
      </c>
      <c r="L50" t="s">
        <v>160</v>
      </c>
    </row>
    <row r="51" spans="1:12" x14ac:dyDescent="0.3">
      <c r="A51" t="s">
        <v>178</v>
      </c>
      <c r="B51" t="s">
        <v>35</v>
      </c>
      <c r="C51" t="s">
        <v>153</v>
      </c>
      <c r="D51">
        <v>1050</v>
      </c>
      <c r="E51">
        <v>600</v>
      </c>
      <c r="F51">
        <v>195</v>
      </c>
      <c r="G51">
        <v>715</v>
      </c>
      <c r="H51">
        <v>950</v>
      </c>
      <c r="I51">
        <v>1600000</v>
      </c>
      <c r="J51">
        <v>580000</v>
      </c>
      <c r="K51">
        <v>0.71</v>
      </c>
      <c r="L51" t="s">
        <v>160</v>
      </c>
    </row>
    <row r="52" spans="1:12" x14ac:dyDescent="0.3">
      <c r="A52" t="s">
        <v>178</v>
      </c>
      <c r="B52" t="s">
        <v>36</v>
      </c>
      <c r="C52" t="s">
        <v>153</v>
      </c>
      <c r="D52">
        <v>1000</v>
      </c>
      <c r="E52">
        <v>600</v>
      </c>
      <c r="F52">
        <v>195</v>
      </c>
      <c r="G52">
        <v>715</v>
      </c>
      <c r="H52">
        <v>750</v>
      </c>
      <c r="I52">
        <v>1500000</v>
      </c>
      <c r="J52">
        <v>550000</v>
      </c>
      <c r="K52">
        <v>0.71</v>
      </c>
      <c r="L52" t="s">
        <v>160</v>
      </c>
    </row>
    <row r="53" spans="1:12" x14ac:dyDescent="0.3">
      <c r="A53" t="s">
        <v>178</v>
      </c>
      <c r="B53" t="s">
        <v>37</v>
      </c>
      <c r="C53" t="s">
        <v>153</v>
      </c>
      <c r="D53">
        <v>575</v>
      </c>
      <c r="E53">
        <v>350</v>
      </c>
      <c r="F53">
        <v>195</v>
      </c>
      <c r="G53">
        <v>715</v>
      </c>
      <c r="H53">
        <v>425</v>
      </c>
      <c r="I53">
        <v>1300000</v>
      </c>
      <c r="J53">
        <v>470000</v>
      </c>
      <c r="K53">
        <v>0.71</v>
      </c>
      <c r="L53" t="s">
        <v>160</v>
      </c>
    </row>
    <row r="54" spans="1:12" x14ac:dyDescent="0.3">
      <c r="A54" t="s">
        <v>178</v>
      </c>
      <c r="B54" t="s">
        <v>38</v>
      </c>
      <c r="C54" t="s">
        <v>153</v>
      </c>
      <c r="D54">
        <v>775</v>
      </c>
      <c r="E54">
        <v>450</v>
      </c>
      <c r="F54">
        <v>195</v>
      </c>
      <c r="G54">
        <v>715</v>
      </c>
      <c r="H54">
        <v>475</v>
      </c>
      <c r="I54">
        <v>1300000</v>
      </c>
      <c r="J54">
        <v>470000</v>
      </c>
      <c r="K54">
        <v>0.71</v>
      </c>
      <c r="L54" t="s">
        <v>160</v>
      </c>
    </row>
    <row r="55" spans="1:12" x14ac:dyDescent="0.3">
      <c r="A55" t="s">
        <v>178</v>
      </c>
      <c r="B55" t="s">
        <v>19</v>
      </c>
      <c r="C55" t="s">
        <v>154</v>
      </c>
      <c r="D55">
        <v>1150</v>
      </c>
      <c r="E55">
        <v>675</v>
      </c>
      <c r="F55">
        <v>195</v>
      </c>
      <c r="G55">
        <v>715</v>
      </c>
      <c r="H55">
        <v>1000</v>
      </c>
      <c r="I55">
        <v>1400000</v>
      </c>
      <c r="J55">
        <v>510000</v>
      </c>
      <c r="K55">
        <v>0.71</v>
      </c>
      <c r="L55" t="s">
        <v>160</v>
      </c>
    </row>
    <row r="56" spans="1:12" x14ac:dyDescent="0.3">
      <c r="A56" t="s">
        <v>178</v>
      </c>
      <c r="B56" t="s">
        <v>152</v>
      </c>
      <c r="C56" t="s">
        <v>154</v>
      </c>
      <c r="D56">
        <v>650</v>
      </c>
      <c r="E56">
        <v>375</v>
      </c>
      <c r="F56">
        <v>195</v>
      </c>
      <c r="G56">
        <v>715</v>
      </c>
      <c r="H56">
        <v>775</v>
      </c>
      <c r="I56">
        <v>1300000</v>
      </c>
      <c r="J56">
        <v>470000</v>
      </c>
      <c r="K56">
        <v>0.71</v>
      </c>
      <c r="L56" t="s">
        <v>160</v>
      </c>
    </row>
    <row r="57" spans="1:12" x14ac:dyDescent="0.3">
      <c r="A57" s="1" t="s">
        <v>178</v>
      </c>
      <c r="B57" s="1" t="s">
        <v>40</v>
      </c>
      <c r="C57" s="1" t="s">
        <v>154</v>
      </c>
      <c r="D57" s="1">
        <v>300</v>
      </c>
      <c r="E57" s="1">
        <v>175</v>
      </c>
      <c r="F57" s="1">
        <v>195</v>
      </c>
      <c r="G57" s="1">
        <v>715</v>
      </c>
      <c r="H57" s="1">
        <v>500</v>
      </c>
      <c r="I57" s="1">
        <v>1200000</v>
      </c>
      <c r="J57" s="1">
        <v>440000</v>
      </c>
      <c r="K57" s="1">
        <v>0.71</v>
      </c>
      <c r="L57" s="1" t="s">
        <v>160</v>
      </c>
    </row>
    <row r="58" spans="1:12" x14ac:dyDescent="0.3">
      <c r="A58" t="s">
        <v>179</v>
      </c>
      <c r="B58" t="s">
        <v>44</v>
      </c>
      <c r="C58" t="s">
        <v>153</v>
      </c>
      <c r="D58">
        <v>1300</v>
      </c>
      <c r="E58">
        <v>950</v>
      </c>
      <c r="F58">
        <v>125</v>
      </c>
      <c r="G58">
        <v>455</v>
      </c>
      <c r="H58">
        <v>1200</v>
      </c>
      <c r="I58">
        <v>1700000</v>
      </c>
      <c r="J58">
        <v>620000</v>
      </c>
      <c r="K58">
        <v>0.43</v>
      </c>
      <c r="L58" t="s">
        <v>161</v>
      </c>
    </row>
    <row r="59" spans="1:12" x14ac:dyDescent="0.3">
      <c r="A59" t="s">
        <v>179</v>
      </c>
      <c r="B59" t="s">
        <v>35</v>
      </c>
      <c r="C59" t="s">
        <v>153</v>
      </c>
      <c r="D59">
        <v>925</v>
      </c>
      <c r="E59">
        <v>550</v>
      </c>
      <c r="F59">
        <v>125</v>
      </c>
      <c r="G59">
        <v>455</v>
      </c>
      <c r="H59">
        <v>1100</v>
      </c>
      <c r="I59">
        <v>1500000</v>
      </c>
      <c r="J59">
        <v>550000</v>
      </c>
      <c r="K59">
        <v>0.43</v>
      </c>
      <c r="L59" t="s">
        <v>161</v>
      </c>
    </row>
    <row r="60" spans="1:12" x14ac:dyDescent="0.3">
      <c r="A60" t="s">
        <v>179</v>
      </c>
      <c r="B60" t="s">
        <v>36</v>
      </c>
      <c r="C60" t="s">
        <v>153</v>
      </c>
      <c r="D60">
        <v>925</v>
      </c>
      <c r="E60">
        <v>550</v>
      </c>
      <c r="F60">
        <v>125</v>
      </c>
      <c r="G60">
        <v>455</v>
      </c>
      <c r="H60">
        <v>1100</v>
      </c>
      <c r="I60">
        <v>1500000</v>
      </c>
      <c r="J60">
        <v>550000</v>
      </c>
      <c r="K60">
        <v>0.43</v>
      </c>
      <c r="L60" t="s">
        <v>161</v>
      </c>
    </row>
    <row r="61" spans="1:12" x14ac:dyDescent="0.3">
      <c r="A61" t="s">
        <v>179</v>
      </c>
      <c r="B61" t="s">
        <v>37</v>
      </c>
      <c r="C61" t="s">
        <v>153</v>
      </c>
      <c r="D61">
        <v>525</v>
      </c>
      <c r="E61">
        <v>325</v>
      </c>
      <c r="F61">
        <v>125</v>
      </c>
      <c r="G61">
        <v>455</v>
      </c>
      <c r="H61">
        <v>625</v>
      </c>
      <c r="I61">
        <v>1400000</v>
      </c>
      <c r="J61">
        <v>510000</v>
      </c>
      <c r="K61">
        <v>0.43</v>
      </c>
      <c r="L61" t="s">
        <v>161</v>
      </c>
    </row>
    <row r="62" spans="1:12" x14ac:dyDescent="0.3">
      <c r="A62" t="s">
        <v>179</v>
      </c>
      <c r="B62" t="s">
        <v>38</v>
      </c>
      <c r="C62" t="s">
        <v>153</v>
      </c>
      <c r="D62">
        <v>725</v>
      </c>
      <c r="E62">
        <v>450</v>
      </c>
      <c r="F62">
        <v>125</v>
      </c>
      <c r="G62">
        <v>455</v>
      </c>
      <c r="H62">
        <v>675</v>
      </c>
      <c r="I62">
        <v>1400000</v>
      </c>
      <c r="J62">
        <v>510000</v>
      </c>
      <c r="K62">
        <v>0.43</v>
      </c>
      <c r="L62" t="s">
        <v>161</v>
      </c>
    </row>
    <row r="63" spans="1:12" x14ac:dyDescent="0.3">
      <c r="A63" t="s">
        <v>179</v>
      </c>
      <c r="B63" t="s">
        <v>19</v>
      </c>
      <c r="C63" t="s">
        <v>154</v>
      </c>
      <c r="D63">
        <v>1050</v>
      </c>
      <c r="E63">
        <v>650</v>
      </c>
      <c r="F63">
        <v>125</v>
      </c>
      <c r="G63">
        <v>455</v>
      </c>
      <c r="H63">
        <v>1300</v>
      </c>
      <c r="I63">
        <v>1400000</v>
      </c>
      <c r="J63">
        <v>510000</v>
      </c>
      <c r="K63">
        <v>0.43</v>
      </c>
      <c r="L63" t="s">
        <v>161</v>
      </c>
    </row>
    <row r="64" spans="1:12" x14ac:dyDescent="0.3">
      <c r="A64" t="s">
        <v>179</v>
      </c>
      <c r="B64" t="s">
        <v>152</v>
      </c>
      <c r="C64" t="s">
        <v>154</v>
      </c>
      <c r="D64">
        <v>600</v>
      </c>
      <c r="E64">
        <v>350</v>
      </c>
      <c r="F64">
        <v>125</v>
      </c>
      <c r="G64">
        <v>455</v>
      </c>
      <c r="H64">
        <v>1100</v>
      </c>
      <c r="I64">
        <v>1300000</v>
      </c>
      <c r="J64">
        <v>470000</v>
      </c>
      <c r="K64">
        <v>0.43</v>
      </c>
      <c r="L64" t="s">
        <v>161</v>
      </c>
    </row>
    <row r="65" spans="1:12" x14ac:dyDescent="0.3">
      <c r="A65" s="1" t="s">
        <v>179</v>
      </c>
      <c r="B65" s="1" t="s">
        <v>40</v>
      </c>
      <c r="C65" s="1" t="s">
        <v>154</v>
      </c>
      <c r="D65" s="1">
        <v>275</v>
      </c>
      <c r="E65" s="1">
        <v>175</v>
      </c>
      <c r="F65" s="1">
        <v>125</v>
      </c>
      <c r="G65" s="1">
        <v>455</v>
      </c>
      <c r="H65" s="1">
        <v>725</v>
      </c>
      <c r="I65" s="1">
        <v>1200000</v>
      </c>
      <c r="J65" s="1">
        <v>440000</v>
      </c>
      <c r="K65" s="1">
        <v>0.43</v>
      </c>
      <c r="L65" s="1" t="s">
        <v>161</v>
      </c>
    </row>
    <row r="66" spans="1:12" x14ac:dyDescent="0.3">
      <c r="A66" s="3" t="s">
        <v>180</v>
      </c>
      <c r="B66" t="s">
        <v>44</v>
      </c>
      <c r="C66" t="s">
        <v>153</v>
      </c>
      <c r="D66">
        <v>875</v>
      </c>
      <c r="E66">
        <v>525</v>
      </c>
      <c r="F66">
        <v>125</v>
      </c>
      <c r="G66">
        <v>320</v>
      </c>
      <c r="H66">
        <v>775</v>
      </c>
      <c r="I66">
        <v>1200000</v>
      </c>
      <c r="J66">
        <v>440000</v>
      </c>
      <c r="K66">
        <v>0.41</v>
      </c>
      <c r="L66" t="s">
        <v>160</v>
      </c>
    </row>
    <row r="67" spans="1:12" x14ac:dyDescent="0.3">
      <c r="A67" t="s">
        <v>180</v>
      </c>
      <c r="B67" t="s">
        <v>35</v>
      </c>
      <c r="C67" t="s">
        <v>153</v>
      </c>
      <c r="D67">
        <v>625</v>
      </c>
      <c r="E67">
        <v>375</v>
      </c>
      <c r="F67">
        <v>125</v>
      </c>
      <c r="G67">
        <v>320</v>
      </c>
      <c r="H67">
        <v>625</v>
      </c>
      <c r="I67">
        <v>1200000</v>
      </c>
      <c r="J67">
        <v>440000</v>
      </c>
      <c r="K67">
        <v>0.41</v>
      </c>
      <c r="L67" t="s">
        <v>160</v>
      </c>
    </row>
    <row r="68" spans="1:12" x14ac:dyDescent="0.3">
      <c r="A68" t="s">
        <v>180</v>
      </c>
      <c r="B68" t="s">
        <v>36</v>
      </c>
      <c r="C68" t="s">
        <v>153</v>
      </c>
      <c r="D68">
        <v>625</v>
      </c>
      <c r="E68">
        <v>350</v>
      </c>
      <c r="F68">
        <v>125</v>
      </c>
      <c r="G68">
        <v>320</v>
      </c>
      <c r="H68">
        <v>475</v>
      </c>
      <c r="I68">
        <v>1100000</v>
      </c>
      <c r="J68">
        <v>400000</v>
      </c>
      <c r="K68">
        <v>0.41</v>
      </c>
      <c r="L68" t="s">
        <v>160</v>
      </c>
    </row>
    <row r="69" spans="1:12" x14ac:dyDescent="0.3">
      <c r="A69" t="s">
        <v>180</v>
      </c>
      <c r="B69" t="s">
        <v>37</v>
      </c>
      <c r="C69" t="s">
        <v>153</v>
      </c>
      <c r="D69">
        <v>350</v>
      </c>
      <c r="E69">
        <v>200</v>
      </c>
      <c r="F69">
        <v>125</v>
      </c>
      <c r="G69">
        <v>320</v>
      </c>
      <c r="H69">
        <v>275</v>
      </c>
      <c r="I69">
        <v>1000000</v>
      </c>
      <c r="J69">
        <v>370000</v>
      </c>
      <c r="K69">
        <v>0.41</v>
      </c>
      <c r="L69" t="s">
        <v>160</v>
      </c>
    </row>
    <row r="70" spans="1:12" x14ac:dyDescent="0.3">
      <c r="A70" t="s">
        <v>180</v>
      </c>
      <c r="B70" t="s">
        <v>38</v>
      </c>
      <c r="C70" t="s">
        <v>153</v>
      </c>
      <c r="D70">
        <v>475</v>
      </c>
      <c r="E70">
        <v>275</v>
      </c>
      <c r="F70">
        <v>125</v>
      </c>
      <c r="G70">
        <v>320</v>
      </c>
      <c r="H70">
        <v>300</v>
      </c>
      <c r="I70">
        <v>1000000</v>
      </c>
      <c r="J70">
        <v>370000</v>
      </c>
      <c r="K70">
        <v>0.41</v>
      </c>
      <c r="L70" t="s">
        <v>160</v>
      </c>
    </row>
    <row r="71" spans="1:12" x14ac:dyDescent="0.3">
      <c r="A71" t="s">
        <v>180</v>
      </c>
      <c r="B71" t="s">
        <v>19</v>
      </c>
      <c r="C71" t="s">
        <v>154</v>
      </c>
      <c r="D71">
        <v>700</v>
      </c>
      <c r="E71">
        <v>400</v>
      </c>
      <c r="F71">
        <v>125</v>
      </c>
      <c r="G71">
        <v>320</v>
      </c>
      <c r="H71">
        <v>650</v>
      </c>
      <c r="I71">
        <v>1000000</v>
      </c>
      <c r="J71">
        <v>370000</v>
      </c>
      <c r="K71">
        <v>0.41</v>
      </c>
      <c r="L71" t="s">
        <v>160</v>
      </c>
    </row>
    <row r="72" spans="1:12" x14ac:dyDescent="0.3">
      <c r="A72" t="s">
        <v>180</v>
      </c>
      <c r="B72" t="s">
        <v>152</v>
      </c>
      <c r="C72" t="s">
        <v>154</v>
      </c>
      <c r="D72">
        <v>400</v>
      </c>
      <c r="E72">
        <v>225</v>
      </c>
      <c r="F72">
        <v>125</v>
      </c>
      <c r="G72">
        <v>320</v>
      </c>
      <c r="H72">
        <v>500</v>
      </c>
      <c r="I72">
        <v>900000</v>
      </c>
      <c r="J72">
        <v>330000</v>
      </c>
      <c r="K72">
        <v>0.41</v>
      </c>
      <c r="L72" t="s">
        <v>160</v>
      </c>
    </row>
    <row r="73" spans="1:12" x14ac:dyDescent="0.3">
      <c r="A73" s="1" t="s">
        <v>180</v>
      </c>
      <c r="B73" s="1" t="s">
        <v>40</v>
      </c>
      <c r="C73" s="1" t="s">
        <v>154</v>
      </c>
      <c r="D73" s="1">
        <v>175</v>
      </c>
      <c r="E73" s="1">
        <v>100</v>
      </c>
      <c r="F73" s="1">
        <v>125</v>
      </c>
      <c r="G73" s="1">
        <v>320</v>
      </c>
      <c r="H73" s="1">
        <v>325</v>
      </c>
      <c r="I73" s="1">
        <v>900000</v>
      </c>
      <c r="J73" s="1">
        <v>330000</v>
      </c>
      <c r="K73" s="1">
        <v>0.41</v>
      </c>
      <c r="L73" s="1" t="s">
        <v>160</v>
      </c>
    </row>
    <row r="74" spans="1:12" x14ac:dyDescent="0.3">
      <c r="A74" t="s">
        <v>181</v>
      </c>
      <c r="B74" t="s">
        <v>44</v>
      </c>
      <c r="C74" t="s">
        <v>153</v>
      </c>
      <c r="D74">
        <v>1500</v>
      </c>
      <c r="E74">
        <v>1000</v>
      </c>
      <c r="F74">
        <v>180</v>
      </c>
      <c r="G74">
        <v>625</v>
      </c>
      <c r="H74">
        <v>1700</v>
      </c>
      <c r="I74">
        <v>1900000</v>
      </c>
      <c r="J74">
        <v>690000</v>
      </c>
      <c r="K74">
        <v>0.5</v>
      </c>
      <c r="L74" t="s">
        <v>157</v>
      </c>
    </row>
    <row r="75" spans="1:12" x14ac:dyDescent="0.3">
      <c r="A75" t="s">
        <v>181</v>
      </c>
      <c r="B75" t="s">
        <v>162</v>
      </c>
      <c r="C75" t="s">
        <v>153</v>
      </c>
      <c r="D75">
        <v>1200</v>
      </c>
      <c r="E75">
        <v>800</v>
      </c>
      <c r="F75">
        <v>180</v>
      </c>
      <c r="G75">
        <v>625</v>
      </c>
      <c r="H75">
        <v>1550</v>
      </c>
      <c r="I75">
        <v>1800000</v>
      </c>
      <c r="J75">
        <v>660000</v>
      </c>
      <c r="K75">
        <v>0.5</v>
      </c>
      <c r="L75" t="s">
        <v>157</v>
      </c>
    </row>
    <row r="76" spans="1:12" x14ac:dyDescent="0.3">
      <c r="A76" t="s">
        <v>181</v>
      </c>
      <c r="B76" t="s">
        <v>35</v>
      </c>
      <c r="C76" t="s">
        <v>153</v>
      </c>
      <c r="D76">
        <v>1000</v>
      </c>
      <c r="E76">
        <v>675</v>
      </c>
      <c r="F76">
        <v>180</v>
      </c>
      <c r="G76">
        <v>625</v>
      </c>
      <c r="H76">
        <v>1500</v>
      </c>
      <c r="I76">
        <v>1700000</v>
      </c>
      <c r="J76">
        <v>620000</v>
      </c>
      <c r="K76">
        <v>0.5</v>
      </c>
      <c r="L76" t="s">
        <v>157</v>
      </c>
    </row>
    <row r="77" spans="1:12" x14ac:dyDescent="0.3">
      <c r="A77" t="s">
        <v>181</v>
      </c>
      <c r="B77" t="s">
        <v>36</v>
      </c>
      <c r="C77" t="s">
        <v>153</v>
      </c>
      <c r="D77">
        <v>900</v>
      </c>
      <c r="E77">
        <v>575</v>
      </c>
      <c r="F77">
        <v>180</v>
      </c>
      <c r="G77">
        <v>625</v>
      </c>
      <c r="H77">
        <v>1350</v>
      </c>
      <c r="I77">
        <v>1600000</v>
      </c>
      <c r="J77">
        <v>580000</v>
      </c>
      <c r="K77">
        <v>0.5</v>
      </c>
      <c r="L77" t="s">
        <v>157</v>
      </c>
    </row>
    <row r="78" spans="1:12" x14ac:dyDescent="0.3">
      <c r="A78" t="s">
        <v>181</v>
      </c>
      <c r="B78" t="s">
        <v>37</v>
      </c>
      <c r="C78" t="s">
        <v>153</v>
      </c>
      <c r="D78">
        <v>525</v>
      </c>
      <c r="E78">
        <v>325</v>
      </c>
      <c r="F78">
        <v>180</v>
      </c>
      <c r="G78">
        <v>625</v>
      </c>
      <c r="H78">
        <v>775</v>
      </c>
      <c r="I78">
        <v>1400000</v>
      </c>
      <c r="J78">
        <v>510000</v>
      </c>
      <c r="K78">
        <v>0.5</v>
      </c>
      <c r="L78" t="s">
        <v>157</v>
      </c>
    </row>
    <row r="79" spans="1:12" x14ac:dyDescent="0.3">
      <c r="A79" t="s">
        <v>181</v>
      </c>
      <c r="B79" t="s">
        <v>38</v>
      </c>
      <c r="C79" t="s">
        <v>153</v>
      </c>
      <c r="D79">
        <v>700</v>
      </c>
      <c r="E79">
        <v>450</v>
      </c>
      <c r="F79">
        <v>180</v>
      </c>
      <c r="G79">
        <v>625</v>
      </c>
      <c r="H79">
        <v>850</v>
      </c>
      <c r="I79">
        <v>1400000</v>
      </c>
      <c r="J79">
        <v>510000</v>
      </c>
      <c r="K79">
        <v>0.5</v>
      </c>
      <c r="L79" t="s">
        <v>157</v>
      </c>
    </row>
    <row r="80" spans="1:12" x14ac:dyDescent="0.3">
      <c r="A80" t="s">
        <v>181</v>
      </c>
      <c r="B80" t="s">
        <v>19</v>
      </c>
      <c r="C80" t="s">
        <v>154</v>
      </c>
      <c r="D80">
        <v>1000</v>
      </c>
      <c r="E80">
        <v>650</v>
      </c>
      <c r="F80">
        <v>180</v>
      </c>
      <c r="G80">
        <v>625</v>
      </c>
      <c r="H80">
        <v>1650</v>
      </c>
      <c r="I80">
        <v>1500000</v>
      </c>
      <c r="J80">
        <v>550000</v>
      </c>
      <c r="K80">
        <v>0.5</v>
      </c>
      <c r="L80" t="s">
        <v>157</v>
      </c>
    </row>
    <row r="81" spans="1:12" x14ac:dyDescent="0.3">
      <c r="A81" t="s">
        <v>181</v>
      </c>
      <c r="B81" t="s">
        <v>152</v>
      </c>
      <c r="C81" t="s">
        <v>154</v>
      </c>
      <c r="D81">
        <v>575</v>
      </c>
      <c r="E81">
        <v>375</v>
      </c>
      <c r="F81">
        <v>180</v>
      </c>
      <c r="G81">
        <v>625</v>
      </c>
      <c r="H81">
        <v>1400</v>
      </c>
      <c r="I81">
        <v>1400000</v>
      </c>
      <c r="J81">
        <v>510000</v>
      </c>
      <c r="K81">
        <v>0.5</v>
      </c>
      <c r="L81" t="s">
        <v>157</v>
      </c>
    </row>
    <row r="82" spans="1:12" x14ac:dyDescent="0.3">
      <c r="A82" s="1" t="s">
        <v>181</v>
      </c>
      <c r="B82" s="1" t="s">
        <v>40</v>
      </c>
      <c r="C82" s="1" t="s">
        <v>154</v>
      </c>
      <c r="D82" s="1">
        <v>275</v>
      </c>
      <c r="E82" s="1">
        <v>175</v>
      </c>
      <c r="F82" s="1">
        <v>180</v>
      </c>
      <c r="G82" s="1">
        <v>625</v>
      </c>
      <c r="H82" s="1">
        <v>900</v>
      </c>
      <c r="I82" s="1">
        <v>1300000</v>
      </c>
      <c r="J82" s="1">
        <v>470000</v>
      </c>
      <c r="K82" s="1">
        <v>0.5</v>
      </c>
      <c r="L82" s="1" t="s">
        <v>157</v>
      </c>
    </row>
    <row r="83" spans="1:12" x14ac:dyDescent="0.3">
      <c r="A83" t="s">
        <v>182</v>
      </c>
      <c r="B83" t="s">
        <v>44</v>
      </c>
      <c r="C83" t="s">
        <v>153</v>
      </c>
      <c r="D83">
        <v>1350</v>
      </c>
      <c r="E83">
        <v>825</v>
      </c>
      <c r="F83">
        <v>180</v>
      </c>
      <c r="G83">
        <v>625</v>
      </c>
      <c r="H83">
        <v>1900</v>
      </c>
      <c r="I83">
        <v>1900000</v>
      </c>
      <c r="J83">
        <v>690000</v>
      </c>
      <c r="K83">
        <v>0.49</v>
      </c>
      <c r="L83" t="s">
        <v>161</v>
      </c>
    </row>
    <row r="84" spans="1:12" x14ac:dyDescent="0.3">
      <c r="A84" t="s">
        <v>182</v>
      </c>
      <c r="B84" t="s">
        <v>162</v>
      </c>
      <c r="C84" t="s">
        <v>153</v>
      </c>
      <c r="D84">
        <v>1150</v>
      </c>
      <c r="E84">
        <v>750</v>
      </c>
      <c r="F84">
        <v>180</v>
      </c>
      <c r="G84">
        <v>625</v>
      </c>
      <c r="H84">
        <v>1800</v>
      </c>
      <c r="I84">
        <v>1800000</v>
      </c>
      <c r="J84">
        <v>660000</v>
      </c>
      <c r="K84">
        <v>0.49</v>
      </c>
      <c r="L84" t="s">
        <v>161</v>
      </c>
    </row>
    <row r="85" spans="1:12" x14ac:dyDescent="0.3">
      <c r="A85" t="s">
        <v>182</v>
      </c>
      <c r="B85" t="s">
        <v>35</v>
      </c>
      <c r="C85" t="s">
        <v>153</v>
      </c>
      <c r="D85">
        <v>850</v>
      </c>
      <c r="E85">
        <v>500</v>
      </c>
      <c r="F85">
        <v>180</v>
      </c>
      <c r="G85">
        <v>625</v>
      </c>
      <c r="H85">
        <v>1400</v>
      </c>
      <c r="I85">
        <v>1600000</v>
      </c>
      <c r="J85">
        <v>580000</v>
      </c>
      <c r="K85">
        <v>0.49</v>
      </c>
      <c r="L85" t="s">
        <v>161</v>
      </c>
    </row>
    <row r="86" spans="1:12" x14ac:dyDescent="0.3">
      <c r="A86" t="s">
        <v>182</v>
      </c>
      <c r="B86" t="s">
        <v>36</v>
      </c>
      <c r="C86" t="s">
        <v>153</v>
      </c>
      <c r="D86">
        <v>850</v>
      </c>
      <c r="E86">
        <v>500</v>
      </c>
      <c r="F86">
        <v>180</v>
      </c>
      <c r="G86">
        <v>625</v>
      </c>
      <c r="H86">
        <v>1400</v>
      </c>
      <c r="I86">
        <v>1600000</v>
      </c>
      <c r="J86">
        <v>580000</v>
      </c>
      <c r="K86">
        <v>0.49</v>
      </c>
      <c r="L86" t="s">
        <v>161</v>
      </c>
    </row>
    <row r="87" spans="1:12" x14ac:dyDescent="0.3">
      <c r="A87" t="s">
        <v>182</v>
      </c>
      <c r="B87" t="s">
        <v>37</v>
      </c>
      <c r="C87" t="s">
        <v>153</v>
      </c>
      <c r="D87">
        <v>475</v>
      </c>
      <c r="E87">
        <v>300</v>
      </c>
      <c r="F87">
        <v>180</v>
      </c>
      <c r="G87">
        <v>625</v>
      </c>
      <c r="H87">
        <v>825</v>
      </c>
      <c r="I87">
        <v>1400000</v>
      </c>
      <c r="J87">
        <v>510000</v>
      </c>
      <c r="K87">
        <v>0.49</v>
      </c>
      <c r="L87" t="s">
        <v>161</v>
      </c>
    </row>
    <row r="88" spans="1:12" x14ac:dyDescent="0.3">
      <c r="A88" t="s">
        <v>182</v>
      </c>
      <c r="B88" t="s">
        <v>38</v>
      </c>
      <c r="C88" t="s">
        <v>153</v>
      </c>
      <c r="D88">
        <v>650</v>
      </c>
      <c r="E88">
        <v>400</v>
      </c>
      <c r="F88">
        <v>180</v>
      </c>
      <c r="G88">
        <v>625</v>
      </c>
      <c r="H88">
        <v>900</v>
      </c>
      <c r="I88">
        <v>1400000</v>
      </c>
      <c r="J88">
        <v>510000</v>
      </c>
      <c r="K88">
        <v>0.49</v>
      </c>
      <c r="L88" t="s">
        <v>161</v>
      </c>
    </row>
    <row r="89" spans="1:12" x14ac:dyDescent="0.3">
      <c r="A89" t="s">
        <v>182</v>
      </c>
      <c r="B89" t="s">
        <v>19</v>
      </c>
      <c r="C89" t="s">
        <v>154</v>
      </c>
      <c r="D89">
        <v>950</v>
      </c>
      <c r="E89">
        <v>575</v>
      </c>
      <c r="F89">
        <v>180</v>
      </c>
      <c r="G89">
        <v>625</v>
      </c>
      <c r="H89">
        <v>1800</v>
      </c>
      <c r="I89">
        <v>1500000</v>
      </c>
      <c r="J89">
        <v>550000</v>
      </c>
      <c r="K89">
        <v>0.49</v>
      </c>
      <c r="L89" t="s">
        <v>161</v>
      </c>
    </row>
    <row r="90" spans="1:12" x14ac:dyDescent="0.3">
      <c r="A90" t="s">
        <v>182</v>
      </c>
      <c r="B90" t="s">
        <v>152</v>
      </c>
      <c r="C90" t="s">
        <v>154</v>
      </c>
      <c r="D90">
        <v>525</v>
      </c>
      <c r="E90">
        <v>325</v>
      </c>
      <c r="F90">
        <v>180</v>
      </c>
      <c r="G90">
        <v>625</v>
      </c>
      <c r="H90">
        <v>1450</v>
      </c>
      <c r="I90">
        <v>1400000</v>
      </c>
      <c r="J90">
        <v>510000</v>
      </c>
      <c r="K90">
        <v>0.49</v>
      </c>
      <c r="L90" t="s">
        <v>161</v>
      </c>
    </row>
    <row r="91" spans="1:12" x14ac:dyDescent="0.3">
      <c r="A91" s="1" t="s">
        <v>182</v>
      </c>
      <c r="B91" s="1" t="s">
        <v>40</v>
      </c>
      <c r="C91" s="1" t="s">
        <v>154</v>
      </c>
      <c r="D91" s="1">
        <v>250</v>
      </c>
      <c r="E91" s="1">
        <v>150</v>
      </c>
      <c r="F91" s="1">
        <v>180</v>
      </c>
      <c r="G91" s="1">
        <v>625</v>
      </c>
      <c r="H91" s="1">
        <v>900</v>
      </c>
      <c r="I91" s="1">
        <v>1300000</v>
      </c>
      <c r="J91" s="1">
        <v>470000</v>
      </c>
      <c r="K91" s="1">
        <v>0.49</v>
      </c>
      <c r="L91" s="1" t="s">
        <v>161</v>
      </c>
    </row>
    <row r="92" spans="1:12" x14ac:dyDescent="0.3">
      <c r="A92" t="s">
        <v>183</v>
      </c>
      <c r="B92" t="s">
        <v>44</v>
      </c>
      <c r="C92" t="s">
        <v>153</v>
      </c>
      <c r="D92">
        <v>1350</v>
      </c>
      <c r="E92">
        <v>900</v>
      </c>
      <c r="F92">
        <v>180</v>
      </c>
      <c r="G92">
        <v>520</v>
      </c>
      <c r="H92">
        <v>1600</v>
      </c>
      <c r="I92">
        <v>1400000</v>
      </c>
      <c r="J92">
        <v>510000</v>
      </c>
      <c r="K92">
        <v>0.46</v>
      </c>
      <c r="L92" t="s">
        <v>156</v>
      </c>
    </row>
    <row r="93" spans="1:12" x14ac:dyDescent="0.3">
      <c r="A93" t="s">
        <v>183</v>
      </c>
      <c r="B93" t="s">
        <v>35</v>
      </c>
      <c r="C93" t="s">
        <v>153</v>
      </c>
      <c r="D93">
        <v>925</v>
      </c>
      <c r="E93">
        <v>600</v>
      </c>
      <c r="F93">
        <v>180</v>
      </c>
      <c r="G93">
        <v>520</v>
      </c>
      <c r="H93">
        <v>1450</v>
      </c>
      <c r="I93">
        <v>1300000</v>
      </c>
      <c r="J93">
        <v>470000</v>
      </c>
      <c r="K93">
        <v>0.46</v>
      </c>
      <c r="L93" t="s">
        <v>156</v>
      </c>
    </row>
    <row r="94" spans="1:12" x14ac:dyDescent="0.3">
      <c r="A94" t="s">
        <v>183</v>
      </c>
      <c r="B94" t="s">
        <v>36</v>
      </c>
      <c r="C94" t="s">
        <v>153</v>
      </c>
      <c r="D94">
        <v>850</v>
      </c>
      <c r="E94">
        <v>525</v>
      </c>
      <c r="F94">
        <v>180</v>
      </c>
      <c r="G94">
        <v>520</v>
      </c>
      <c r="H94">
        <v>1350</v>
      </c>
      <c r="I94">
        <v>1200000</v>
      </c>
      <c r="J94">
        <v>440000</v>
      </c>
      <c r="K94">
        <v>0.46</v>
      </c>
      <c r="L94" t="s">
        <v>156</v>
      </c>
    </row>
    <row r="95" spans="1:12" x14ac:dyDescent="0.3">
      <c r="A95" t="s">
        <v>183</v>
      </c>
      <c r="B95" t="s">
        <v>37</v>
      </c>
      <c r="C95" t="s">
        <v>153</v>
      </c>
      <c r="D95">
        <v>500</v>
      </c>
      <c r="E95">
        <v>300</v>
      </c>
      <c r="F95">
        <v>180</v>
      </c>
      <c r="G95">
        <v>520</v>
      </c>
      <c r="H95">
        <v>775</v>
      </c>
      <c r="I95">
        <v>1100000</v>
      </c>
      <c r="J95">
        <v>400000</v>
      </c>
      <c r="K95">
        <v>0.46</v>
      </c>
      <c r="L95" t="s">
        <v>156</v>
      </c>
    </row>
    <row r="96" spans="1:12" x14ac:dyDescent="0.3">
      <c r="A96" t="s">
        <v>183</v>
      </c>
      <c r="B96" t="s">
        <v>38</v>
      </c>
      <c r="C96" t="s">
        <v>153</v>
      </c>
      <c r="D96">
        <v>675</v>
      </c>
      <c r="E96">
        <v>425</v>
      </c>
      <c r="F96">
        <v>180</v>
      </c>
      <c r="G96">
        <v>520</v>
      </c>
      <c r="H96">
        <v>850</v>
      </c>
      <c r="I96">
        <v>1100000</v>
      </c>
      <c r="J96">
        <v>400000</v>
      </c>
      <c r="K96">
        <v>0.46</v>
      </c>
      <c r="L96" t="s">
        <v>156</v>
      </c>
    </row>
    <row r="97" spans="1:12" x14ac:dyDescent="0.3">
      <c r="A97" t="s">
        <v>183</v>
      </c>
      <c r="B97" t="s">
        <v>19</v>
      </c>
      <c r="C97" t="s">
        <v>154</v>
      </c>
      <c r="D97">
        <v>975</v>
      </c>
      <c r="E97">
        <v>600</v>
      </c>
      <c r="F97">
        <v>180</v>
      </c>
      <c r="G97">
        <v>520</v>
      </c>
      <c r="H97">
        <v>1650</v>
      </c>
      <c r="I97">
        <v>1200000</v>
      </c>
      <c r="J97">
        <v>440000</v>
      </c>
      <c r="K97">
        <v>0.46</v>
      </c>
      <c r="L97" t="s">
        <v>156</v>
      </c>
    </row>
    <row r="98" spans="1:12" x14ac:dyDescent="0.3">
      <c r="A98" t="s">
        <v>183</v>
      </c>
      <c r="B98" t="s">
        <v>152</v>
      </c>
      <c r="C98" t="s">
        <v>154</v>
      </c>
      <c r="D98">
        <v>550</v>
      </c>
      <c r="E98">
        <v>350</v>
      </c>
      <c r="F98">
        <v>180</v>
      </c>
      <c r="G98">
        <v>520</v>
      </c>
      <c r="H98">
        <v>1400</v>
      </c>
      <c r="I98">
        <v>1100000</v>
      </c>
      <c r="J98">
        <v>400000</v>
      </c>
      <c r="K98">
        <v>0.46</v>
      </c>
      <c r="L98" t="s">
        <v>156</v>
      </c>
    </row>
    <row r="99" spans="1:12" x14ac:dyDescent="0.3">
      <c r="A99" s="1" t="s">
        <v>183</v>
      </c>
      <c r="B99" s="1" t="s">
        <v>40</v>
      </c>
      <c r="C99" s="1" t="s">
        <v>154</v>
      </c>
      <c r="D99" s="1">
        <v>250</v>
      </c>
      <c r="E99" s="1">
        <v>150</v>
      </c>
      <c r="F99" s="1">
        <v>180</v>
      </c>
      <c r="G99" s="1">
        <v>520</v>
      </c>
      <c r="H99" s="1">
        <v>900</v>
      </c>
      <c r="I99" s="1">
        <v>1000000</v>
      </c>
      <c r="J99" s="1">
        <v>370000</v>
      </c>
      <c r="K99" s="1">
        <v>0.46</v>
      </c>
      <c r="L99" s="1" t="s">
        <v>156</v>
      </c>
    </row>
    <row r="100" spans="1:12" x14ac:dyDescent="0.3">
      <c r="A100" t="s">
        <v>184</v>
      </c>
      <c r="B100" t="s">
        <v>44</v>
      </c>
      <c r="C100" t="s">
        <v>153</v>
      </c>
      <c r="D100">
        <v>1250</v>
      </c>
      <c r="E100">
        <v>575</v>
      </c>
      <c r="F100">
        <v>140</v>
      </c>
      <c r="G100">
        <v>335</v>
      </c>
      <c r="H100">
        <v>1200</v>
      </c>
      <c r="I100">
        <v>1200000</v>
      </c>
      <c r="J100">
        <v>440000</v>
      </c>
      <c r="K100">
        <v>0.36</v>
      </c>
      <c r="L100" t="s">
        <v>160</v>
      </c>
    </row>
    <row r="101" spans="1:12" x14ac:dyDescent="0.3">
      <c r="A101" t="s">
        <v>184</v>
      </c>
      <c r="B101" t="s">
        <v>35</v>
      </c>
      <c r="C101" t="s">
        <v>153</v>
      </c>
      <c r="D101">
        <v>775</v>
      </c>
      <c r="E101">
        <v>350</v>
      </c>
      <c r="F101">
        <v>140</v>
      </c>
      <c r="G101">
        <v>335</v>
      </c>
      <c r="H101">
        <v>1000</v>
      </c>
      <c r="I101">
        <v>1100000</v>
      </c>
      <c r="J101">
        <v>400000</v>
      </c>
      <c r="K101">
        <v>0.36</v>
      </c>
      <c r="L101" t="s">
        <v>160</v>
      </c>
    </row>
    <row r="102" spans="1:12" x14ac:dyDescent="0.3">
      <c r="A102" t="s">
        <v>184</v>
      </c>
      <c r="B102" t="s">
        <v>36</v>
      </c>
      <c r="C102" t="s">
        <v>153</v>
      </c>
      <c r="D102">
        <v>575</v>
      </c>
      <c r="E102">
        <v>275</v>
      </c>
      <c r="F102">
        <v>140</v>
      </c>
      <c r="G102">
        <v>335</v>
      </c>
      <c r="H102">
        <v>825</v>
      </c>
      <c r="I102">
        <v>1100000</v>
      </c>
      <c r="J102">
        <v>400000</v>
      </c>
      <c r="K102">
        <v>0.36</v>
      </c>
      <c r="L102" t="s">
        <v>160</v>
      </c>
    </row>
    <row r="103" spans="1:12" x14ac:dyDescent="0.3">
      <c r="A103" t="s">
        <v>184</v>
      </c>
      <c r="B103" t="s">
        <v>37</v>
      </c>
      <c r="C103" t="s">
        <v>153</v>
      </c>
      <c r="D103">
        <v>350</v>
      </c>
      <c r="E103">
        <v>150</v>
      </c>
      <c r="F103">
        <v>140</v>
      </c>
      <c r="G103">
        <v>335</v>
      </c>
      <c r="H103">
        <v>475</v>
      </c>
      <c r="I103">
        <v>900000</v>
      </c>
      <c r="J103">
        <v>330000</v>
      </c>
      <c r="K103">
        <v>0.36</v>
      </c>
      <c r="L103" t="s">
        <v>160</v>
      </c>
    </row>
    <row r="104" spans="1:12" x14ac:dyDescent="0.3">
      <c r="A104" t="s">
        <v>184</v>
      </c>
      <c r="B104" t="s">
        <v>38</v>
      </c>
      <c r="C104" t="s">
        <v>153</v>
      </c>
      <c r="D104">
        <v>450</v>
      </c>
      <c r="E104">
        <v>200</v>
      </c>
      <c r="F104">
        <v>140</v>
      </c>
      <c r="G104">
        <v>335</v>
      </c>
      <c r="H104">
        <v>525</v>
      </c>
      <c r="I104">
        <v>900000</v>
      </c>
      <c r="J104">
        <v>330000</v>
      </c>
      <c r="K104">
        <v>0.36</v>
      </c>
      <c r="L104" t="s">
        <v>160</v>
      </c>
    </row>
    <row r="105" spans="1:12" x14ac:dyDescent="0.3">
      <c r="A105" t="s">
        <v>184</v>
      </c>
      <c r="B105" t="s">
        <v>19</v>
      </c>
      <c r="C105" t="s">
        <v>154</v>
      </c>
      <c r="D105">
        <v>675</v>
      </c>
      <c r="E105">
        <v>300</v>
      </c>
      <c r="F105">
        <v>140</v>
      </c>
      <c r="G105">
        <v>335</v>
      </c>
      <c r="H105">
        <v>1050</v>
      </c>
      <c r="I105">
        <v>1000000</v>
      </c>
      <c r="J105">
        <v>370000</v>
      </c>
      <c r="K105">
        <v>0.36</v>
      </c>
      <c r="L105" t="s">
        <v>160</v>
      </c>
    </row>
    <row r="106" spans="1:12" x14ac:dyDescent="0.3">
      <c r="A106" t="s">
        <v>184</v>
      </c>
      <c r="B106" t="s">
        <v>152</v>
      </c>
      <c r="C106" t="s">
        <v>154</v>
      </c>
      <c r="D106">
        <v>375</v>
      </c>
      <c r="E106">
        <v>175</v>
      </c>
      <c r="F106">
        <v>140</v>
      </c>
      <c r="G106">
        <v>335</v>
      </c>
      <c r="H106">
        <v>850</v>
      </c>
      <c r="I106">
        <v>900000</v>
      </c>
      <c r="J106">
        <v>330000</v>
      </c>
      <c r="K106">
        <v>0.36</v>
      </c>
      <c r="L106" t="s">
        <v>160</v>
      </c>
    </row>
    <row r="107" spans="1:12" x14ac:dyDescent="0.3">
      <c r="A107" s="1" t="s">
        <v>184</v>
      </c>
      <c r="B107" s="1" t="s">
        <v>40</v>
      </c>
      <c r="C107" s="1" t="s">
        <v>154</v>
      </c>
      <c r="D107" s="1">
        <v>175</v>
      </c>
      <c r="E107" s="1">
        <v>75</v>
      </c>
      <c r="F107" s="1">
        <v>140</v>
      </c>
      <c r="G107" s="1">
        <v>335</v>
      </c>
      <c r="H107" s="1">
        <v>550</v>
      </c>
      <c r="I107" s="1">
        <v>800000</v>
      </c>
      <c r="J107" s="1">
        <v>290000</v>
      </c>
      <c r="K107" s="1">
        <v>0.36</v>
      </c>
      <c r="L107" s="1" t="s">
        <v>160</v>
      </c>
    </row>
    <row r="108" spans="1:12" x14ac:dyDescent="0.3">
      <c r="A108" t="s">
        <v>185</v>
      </c>
      <c r="B108" t="s">
        <v>44</v>
      </c>
      <c r="C108" t="s">
        <v>153</v>
      </c>
      <c r="D108">
        <v>1250</v>
      </c>
      <c r="E108">
        <v>575</v>
      </c>
      <c r="F108">
        <v>170</v>
      </c>
      <c r="G108">
        <v>555</v>
      </c>
      <c r="H108">
        <v>1200</v>
      </c>
      <c r="I108">
        <v>1200000</v>
      </c>
      <c r="J108">
        <v>440000</v>
      </c>
      <c r="K108">
        <v>0.41</v>
      </c>
      <c r="L108" t="s">
        <v>160</v>
      </c>
    </row>
    <row r="109" spans="1:12" x14ac:dyDescent="0.3">
      <c r="A109" t="s">
        <v>185</v>
      </c>
      <c r="B109" t="s">
        <v>35</v>
      </c>
      <c r="C109" t="s">
        <v>153</v>
      </c>
      <c r="D109">
        <v>775</v>
      </c>
      <c r="E109">
        <v>350</v>
      </c>
      <c r="F109">
        <v>170</v>
      </c>
      <c r="G109">
        <v>555</v>
      </c>
      <c r="H109">
        <v>1000</v>
      </c>
      <c r="I109">
        <v>1100000</v>
      </c>
      <c r="J109">
        <v>400000</v>
      </c>
      <c r="K109">
        <v>0.41</v>
      </c>
      <c r="L109" t="s">
        <v>160</v>
      </c>
    </row>
    <row r="110" spans="1:12" x14ac:dyDescent="0.3">
      <c r="A110" t="s">
        <v>185</v>
      </c>
      <c r="B110" t="s">
        <v>36</v>
      </c>
      <c r="C110" t="s">
        <v>153</v>
      </c>
      <c r="D110">
        <v>575</v>
      </c>
      <c r="E110">
        <v>275</v>
      </c>
      <c r="F110">
        <v>170</v>
      </c>
      <c r="G110">
        <v>555</v>
      </c>
      <c r="H110">
        <v>825</v>
      </c>
      <c r="I110">
        <v>1100000</v>
      </c>
      <c r="J110">
        <v>400000</v>
      </c>
      <c r="K110">
        <v>0.41</v>
      </c>
      <c r="L110" t="s">
        <v>160</v>
      </c>
    </row>
    <row r="111" spans="1:12" x14ac:dyDescent="0.3">
      <c r="A111" t="s">
        <v>185</v>
      </c>
      <c r="B111" t="s">
        <v>37</v>
      </c>
      <c r="C111" t="s">
        <v>153</v>
      </c>
      <c r="D111">
        <v>350</v>
      </c>
      <c r="E111">
        <v>150</v>
      </c>
      <c r="F111">
        <v>170</v>
      </c>
      <c r="G111">
        <v>555</v>
      </c>
      <c r="H111">
        <v>475</v>
      </c>
      <c r="I111">
        <v>900000</v>
      </c>
      <c r="J111">
        <v>330000</v>
      </c>
      <c r="K111">
        <v>0.41</v>
      </c>
      <c r="L111" t="s">
        <v>160</v>
      </c>
    </row>
    <row r="112" spans="1:12" x14ac:dyDescent="0.3">
      <c r="A112" t="s">
        <v>185</v>
      </c>
      <c r="B112" t="s">
        <v>38</v>
      </c>
      <c r="C112" t="s">
        <v>153</v>
      </c>
      <c r="D112">
        <v>450</v>
      </c>
      <c r="E112">
        <v>200</v>
      </c>
      <c r="F112">
        <v>170</v>
      </c>
      <c r="G112">
        <v>555</v>
      </c>
      <c r="H112">
        <v>525</v>
      </c>
      <c r="I112">
        <v>900000</v>
      </c>
      <c r="J112">
        <v>330000</v>
      </c>
      <c r="K112">
        <v>0.41</v>
      </c>
      <c r="L112" t="s">
        <v>160</v>
      </c>
    </row>
    <row r="113" spans="1:12" x14ac:dyDescent="0.3">
      <c r="A113" t="s">
        <v>185</v>
      </c>
      <c r="B113" t="s">
        <v>19</v>
      </c>
      <c r="C113" t="s">
        <v>154</v>
      </c>
      <c r="D113">
        <v>675</v>
      </c>
      <c r="E113">
        <v>300</v>
      </c>
      <c r="F113">
        <v>170</v>
      </c>
      <c r="G113">
        <v>555</v>
      </c>
      <c r="H113">
        <v>1050</v>
      </c>
      <c r="I113">
        <v>1000000</v>
      </c>
      <c r="J113">
        <v>370000</v>
      </c>
      <c r="K113">
        <v>0.41</v>
      </c>
      <c r="L113" t="s">
        <v>160</v>
      </c>
    </row>
    <row r="114" spans="1:12" x14ac:dyDescent="0.3">
      <c r="A114" t="s">
        <v>185</v>
      </c>
      <c r="B114" t="s">
        <v>152</v>
      </c>
      <c r="C114" t="s">
        <v>154</v>
      </c>
      <c r="D114">
        <v>375</v>
      </c>
      <c r="E114">
        <v>175</v>
      </c>
      <c r="F114">
        <v>170</v>
      </c>
      <c r="G114">
        <v>555</v>
      </c>
      <c r="H114">
        <v>850</v>
      </c>
      <c r="I114">
        <v>900000</v>
      </c>
      <c r="J114">
        <v>330000</v>
      </c>
      <c r="K114">
        <v>0.41</v>
      </c>
      <c r="L114" t="s">
        <v>160</v>
      </c>
    </row>
    <row r="115" spans="1:12" x14ac:dyDescent="0.3">
      <c r="A115" s="1" t="s">
        <v>185</v>
      </c>
      <c r="B115" s="1" t="s">
        <v>40</v>
      </c>
      <c r="C115" s="1" t="s">
        <v>154</v>
      </c>
      <c r="D115" s="1">
        <v>175</v>
      </c>
      <c r="E115" s="1">
        <v>75</v>
      </c>
      <c r="F115" s="1">
        <v>170</v>
      </c>
      <c r="G115" s="1">
        <v>555</v>
      </c>
      <c r="H115" s="1">
        <v>550</v>
      </c>
      <c r="I115" s="1">
        <v>800000</v>
      </c>
      <c r="J115" s="1">
        <v>290000</v>
      </c>
      <c r="K115" s="1">
        <v>0.41</v>
      </c>
      <c r="L115" s="1" t="s">
        <v>160</v>
      </c>
    </row>
    <row r="116" spans="1:12" x14ac:dyDescent="0.3">
      <c r="A116" t="s">
        <v>186</v>
      </c>
      <c r="B116" t="s">
        <v>44</v>
      </c>
      <c r="C116" t="s">
        <v>153</v>
      </c>
      <c r="D116">
        <v>1250</v>
      </c>
      <c r="E116">
        <v>575</v>
      </c>
      <c r="F116">
        <v>140</v>
      </c>
      <c r="G116">
        <v>335</v>
      </c>
      <c r="H116">
        <v>1200</v>
      </c>
      <c r="I116">
        <v>1200000</v>
      </c>
      <c r="J116">
        <v>440000</v>
      </c>
      <c r="K116">
        <v>0.36</v>
      </c>
      <c r="L116" t="s">
        <v>160</v>
      </c>
    </row>
    <row r="117" spans="1:12" x14ac:dyDescent="0.3">
      <c r="A117" t="s">
        <v>186</v>
      </c>
      <c r="B117" t="s">
        <v>35</v>
      </c>
      <c r="C117" t="s">
        <v>153</v>
      </c>
      <c r="D117">
        <v>775</v>
      </c>
      <c r="E117">
        <v>350</v>
      </c>
      <c r="F117">
        <v>140</v>
      </c>
      <c r="G117">
        <v>335</v>
      </c>
      <c r="H117">
        <v>1000</v>
      </c>
      <c r="I117">
        <v>1100000</v>
      </c>
      <c r="J117">
        <v>400000</v>
      </c>
      <c r="K117">
        <v>0.36</v>
      </c>
      <c r="L117" t="s">
        <v>160</v>
      </c>
    </row>
    <row r="118" spans="1:12" x14ac:dyDescent="0.3">
      <c r="A118" t="s">
        <v>186</v>
      </c>
      <c r="B118" t="s">
        <v>36</v>
      </c>
      <c r="C118" t="s">
        <v>153</v>
      </c>
      <c r="D118">
        <v>575</v>
      </c>
      <c r="E118">
        <v>275</v>
      </c>
      <c r="F118">
        <v>140</v>
      </c>
      <c r="G118">
        <v>335</v>
      </c>
      <c r="H118">
        <v>825</v>
      </c>
      <c r="I118">
        <v>1100000</v>
      </c>
      <c r="J118">
        <v>400000</v>
      </c>
      <c r="K118">
        <v>0.36</v>
      </c>
      <c r="L118" t="s">
        <v>160</v>
      </c>
    </row>
    <row r="119" spans="1:12" x14ac:dyDescent="0.3">
      <c r="A119" t="s">
        <v>186</v>
      </c>
      <c r="B119" t="s">
        <v>37</v>
      </c>
      <c r="C119" t="s">
        <v>153</v>
      </c>
      <c r="D119">
        <v>350</v>
      </c>
      <c r="E119">
        <v>150</v>
      </c>
      <c r="F119">
        <v>140</v>
      </c>
      <c r="G119">
        <v>335</v>
      </c>
      <c r="H119">
        <v>475</v>
      </c>
      <c r="I119">
        <v>900000</v>
      </c>
      <c r="J119">
        <v>330000</v>
      </c>
      <c r="K119">
        <v>0.36</v>
      </c>
      <c r="L119" t="s">
        <v>160</v>
      </c>
    </row>
    <row r="120" spans="1:12" x14ac:dyDescent="0.3">
      <c r="A120" t="s">
        <v>186</v>
      </c>
      <c r="B120" t="s">
        <v>38</v>
      </c>
      <c r="C120" t="s">
        <v>153</v>
      </c>
      <c r="D120">
        <v>450</v>
      </c>
      <c r="E120">
        <v>200</v>
      </c>
      <c r="F120">
        <v>140</v>
      </c>
      <c r="G120">
        <v>335</v>
      </c>
      <c r="H120">
        <v>525</v>
      </c>
      <c r="I120">
        <v>900000</v>
      </c>
      <c r="J120">
        <v>330000</v>
      </c>
      <c r="K120">
        <v>0.36</v>
      </c>
      <c r="L120" t="s">
        <v>160</v>
      </c>
    </row>
    <row r="121" spans="1:12" x14ac:dyDescent="0.3">
      <c r="A121" t="s">
        <v>186</v>
      </c>
      <c r="B121" t="s">
        <v>19</v>
      </c>
      <c r="C121" t="s">
        <v>154</v>
      </c>
      <c r="D121">
        <v>675</v>
      </c>
      <c r="E121">
        <v>300</v>
      </c>
      <c r="F121">
        <v>140</v>
      </c>
      <c r="G121">
        <v>335</v>
      </c>
      <c r="H121">
        <v>1050</v>
      </c>
      <c r="I121">
        <v>1000000</v>
      </c>
      <c r="J121">
        <v>370000</v>
      </c>
      <c r="K121">
        <v>0.36</v>
      </c>
      <c r="L121" t="s">
        <v>160</v>
      </c>
    </row>
    <row r="122" spans="1:12" x14ac:dyDescent="0.3">
      <c r="A122" t="s">
        <v>186</v>
      </c>
      <c r="B122" t="s">
        <v>152</v>
      </c>
      <c r="C122" t="s">
        <v>154</v>
      </c>
      <c r="D122">
        <v>375</v>
      </c>
      <c r="E122">
        <v>175</v>
      </c>
      <c r="F122">
        <v>140</v>
      </c>
      <c r="G122">
        <v>335</v>
      </c>
      <c r="H122">
        <v>850</v>
      </c>
      <c r="I122">
        <v>900000</v>
      </c>
      <c r="J122">
        <v>330000</v>
      </c>
      <c r="K122">
        <v>0.36</v>
      </c>
      <c r="L122" t="s">
        <v>160</v>
      </c>
    </row>
    <row r="123" spans="1:12" x14ac:dyDescent="0.3">
      <c r="A123" s="1" t="s">
        <v>186</v>
      </c>
      <c r="B123" s="1" t="s">
        <v>40</v>
      </c>
      <c r="C123" s="1" t="s">
        <v>154</v>
      </c>
      <c r="D123" s="1">
        <v>175</v>
      </c>
      <c r="E123" s="1">
        <v>75</v>
      </c>
      <c r="F123" s="1">
        <v>140</v>
      </c>
      <c r="G123" s="1">
        <v>335</v>
      </c>
      <c r="H123" s="1">
        <v>550</v>
      </c>
      <c r="I123" s="1">
        <v>800000</v>
      </c>
      <c r="J123" s="1">
        <v>290000</v>
      </c>
      <c r="K123" s="1">
        <v>0.36</v>
      </c>
      <c r="L123" s="1" t="s">
        <v>160</v>
      </c>
    </row>
    <row r="124" spans="1:12" x14ac:dyDescent="0.3">
      <c r="A124" t="s">
        <v>187</v>
      </c>
      <c r="B124" t="s">
        <v>44</v>
      </c>
      <c r="C124" t="s">
        <v>153</v>
      </c>
      <c r="D124">
        <v>1250</v>
      </c>
      <c r="E124">
        <v>575</v>
      </c>
      <c r="F124">
        <v>135</v>
      </c>
      <c r="G124">
        <v>350</v>
      </c>
      <c r="H124">
        <v>1200</v>
      </c>
      <c r="I124">
        <v>1200000</v>
      </c>
      <c r="J124">
        <v>440000</v>
      </c>
      <c r="K124">
        <v>0.36</v>
      </c>
      <c r="L124" t="s">
        <v>160</v>
      </c>
    </row>
    <row r="125" spans="1:12" x14ac:dyDescent="0.3">
      <c r="A125" t="s">
        <v>187</v>
      </c>
      <c r="B125" t="s">
        <v>35</v>
      </c>
      <c r="C125" t="s">
        <v>153</v>
      </c>
      <c r="D125">
        <v>775</v>
      </c>
      <c r="E125">
        <v>350</v>
      </c>
      <c r="F125">
        <v>135</v>
      </c>
      <c r="G125">
        <v>350</v>
      </c>
      <c r="H125">
        <v>1000</v>
      </c>
      <c r="I125">
        <v>1100000</v>
      </c>
      <c r="J125">
        <v>400000</v>
      </c>
      <c r="K125">
        <v>0.36</v>
      </c>
      <c r="L125" t="s">
        <v>160</v>
      </c>
    </row>
    <row r="126" spans="1:12" x14ac:dyDescent="0.3">
      <c r="A126" t="s">
        <v>187</v>
      </c>
      <c r="B126" t="s">
        <v>36</v>
      </c>
      <c r="C126" t="s">
        <v>153</v>
      </c>
      <c r="D126">
        <v>575</v>
      </c>
      <c r="E126">
        <v>275</v>
      </c>
      <c r="F126">
        <v>135</v>
      </c>
      <c r="G126">
        <v>350</v>
      </c>
      <c r="H126">
        <v>825</v>
      </c>
      <c r="I126">
        <v>1100000</v>
      </c>
      <c r="J126">
        <v>400000</v>
      </c>
      <c r="K126">
        <v>0.36</v>
      </c>
      <c r="L126" t="s">
        <v>160</v>
      </c>
    </row>
    <row r="127" spans="1:12" x14ac:dyDescent="0.3">
      <c r="A127" t="s">
        <v>187</v>
      </c>
      <c r="B127" t="s">
        <v>37</v>
      </c>
      <c r="C127" t="s">
        <v>153</v>
      </c>
      <c r="D127">
        <v>350</v>
      </c>
      <c r="E127">
        <v>150</v>
      </c>
      <c r="F127">
        <v>135</v>
      </c>
      <c r="G127">
        <v>350</v>
      </c>
      <c r="H127">
        <v>475</v>
      </c>
      <c r="I127">
        <v>900000</v>
      </c>
      <c r="J127">
        <v>330000</v>
      </c>
      <c r="K127">
        <v>0.36</v>
      </c>
      <c r="L127" t="s">
        <v>160</v>
      </c>
    </row>
    <row r="128" spans="1:12" x14ac:dyDescent="0.3">
      <c r="A128" t="s">
        <v>187</v>
      </c>
      <c r="B128" t="s">
        <v>38</v>
      </c>
      <c r="C128" t="s">
        <v>153</v>
      </c>
      <c r="D128">
        <v>450</v>
      </c>
      <c r="E128">
        <v>200</v>
      </c>
      <c r="F128">
        <v>135</v>
      </c>
      <c r="G128">
        <v>350</v>
      </c>
      <c r="H128">
        <v>525</v>
      </c>
      <c r="I128">
        <v>900000</v>
      </c>
      <c r="J128">
        <v>330000</v>
      </c>
      <c r="K128">
        <v>0.36</v>
      </c>
      <c r="L128" t="s">
        <v>160</v>
      </c>
    </row>
    <row r="129" spans="1:12" x14ac:dyDescent="0.3">
      <c r="A129" t="s">
        <v>187</v>
      </c>
      <c r="B129" t="s">
        <v>19</v>
      </c>
      <c r="C129" t="s">
        <v>154</v>
      </c>
      <c r="D129">
        <v>675</v>
      </c>
      <c r="E129">
        <v>300</v>
      </c>
      <c r="F129">
        <v>135</v>
      </c>
      <c r="G129">
        <v>350</v>
      </c>
      <c r="H129">
        <v>1050</v>
      </c>
      <c r="I129">
        <v>1000000</v>
      </c>
      <c r="J129">
        <v>370000</v>
      </c>
      <c r="K129">
        <v>0.36</v>
      </c>
      <c r="L129" t="s">
        <v>160</v>
      </c>
    </row>
    <row r="130" spans="1:12" x14ac:dyDescent="0.3">
      <c r="A130" t="s">
        <v>187</v>
      </c>
      <c r="B130" t="s">
        <v>152</v>
      </c>
      <c r="C130" t="s">
        <v>154</v>
      </c>
      <c r="D130">
        <v>375</v>
      </c>
      <c r="E130">
        <v>175</v>
      </c>
      <c r="F130">
        <v>135</v>
      </c>
      <c r="G130">
        <v>350</v>
      </c>
      <c r="H130">
        <v>850</v>
      </c>
      <c r="I130">
        <v>900000</v>
      </c>
      <c r="J130">
        <v>330000</v>
      </c>
      <c r="K130">
        <v>0.36</v>
      </c>
      <c r="L130" t="s">
        <v>160</v>
      </c>
    </row>
    <row r="131" spans="1:12" x14ac:dyDescent="0.3">
      <c r="A131" s="1" t="s">
        <v>187</v>
      </c>
      <c r="B131" s="1" t="s">
        <v>40</v>
      </c>
      <c r="C131" s="1" t="s">
        <v>154</v>
      </c>
      <c r="D131" s="1">
        <v>175</v>
      </c>
      <c r="E131" s="1">
        <v>75</v>
      </c>
      <c r="F131" s="1">
        <v>135</v>
      </c>
      <c r="G131" s="1">
        <v>350</v>
      </c>
      <c r="H131" s="1">
        <v>550</v>
      </c>
      <c r="I131" s="1">
        <v>800000</v>
      </c>
      <c r="J131" s="1">
        <v>290000</v>
      </c>
      <c r="K131" s="1">
        <v>0.36</v>
      </c>
      <c r="L131" s="1" t="s">
        <v>160</v>
      </c>
    </row>
    <row r="132" spans="1:12" x14ac:dyDescent="0.3">
      <c r="A132" t="s">
        <v>188</v>
      </c>
      <c r="B132" t="s">
        <v>44</v>
      </c>
      <c r="C132" t="s">
        <v>153</v>
      </c>
      <c r="D132">
        <v>1400</v>
      </c>
      <c r="E132">
        <v>925</v>
      </c>
      <c r="F132">
        <v>150</v>
      </c>
      <c r="G132">
        <v>405</v>
      </c>
      <c r="H132">
        <v>1500</v>
      </c>
      <c r="I132">
        <v>1600000</v>
      </c>
      <c r="J132">
        <v>580000</v>
      </c>
      <c r="K132">
        <v>0.43</v>
      </c>
      <c r="L132" t="s">
        <v>157</v>
      </c>
    </row>
    <row r="133" spans="1:12" x14ac:dyDescent="0.3">
      <c r="A133" t="s">
        <v>188</v>
      </c>
      <c r="B133" t="s">
        <v>162</v>
      </c>
      <c r="C133" t="s">
        <v>153</v>
      </c>
      <c r="D133">
        <v>1100</v>
      </c>
      <c r="E133">
        <v>725</v>
      </c>
      <c r="F133">
        <v>150</v>
      </c>
      <c r="G133">
        <v>405</v>
      </c>
      <c r="H133">
        <v>1350</v>
      </c>
      <c r="I133">
        <v>1500000</v>
      </c>
      <c r="J133">
        <v>550000</v>
      </c>
      <c r="K133">
        <v>0.43</v>
      </c>
      <c r="L133" t="s">
        <v>157</v>
      </c>
    </row>
    <row r="134" spans="1:12" x14ac:dyDescent="0.3">
      <c r="A134" t="s">
        <v>188</v>
      </c>
      <c r="B134" t="s">
        <v>35</v>
      </c>
      <c r="C134" t="s">
        <v>153</v>
      </c>
      <c r="D134">
        <v>975</v>
      </c>
      <c r="E134">
        <v>625</v>
      </c>
      <c r="F134">
        <v>150</v>
      </c>
      <c r="G134">
        <v>405</v>
      </c>
      <c r="H134">
        <v>1350</v>
      </c>
      <c r="I134">
        <v>1500000</v>
      </c>
      <c r="J134">
        <v>550000</v>
      </c>
      <c r="K134">
        <v>0.43</v>
      </c>
      <c r="L134" t="s">
        <v>157</v>
      </c>
    </row>
    <row r="135" spans="1:12" x14ac:dyDescent="0.3">
      <c r="A135" t="s">
        <v>188</v>
      </c>
      <c r="B135" t="s">
        <v>36</v>
      </c>
      <c r="C135" t="s">
        <v>153</v>
      </c>
      <c r="D135">
        <v>850</v>
      </c>
      <c r="E135">
        <v>525</v>
      </c>
      <c r="F135">
        <v>150</v>
      </c>
      <c r="G135">
        <v>405</v>
      </c>
      <c r="H135">
        <v>1300</v>
      </c>
      <c r="I135">
        <v>1300000</v>
      </c>
      <c r="J135">
        <v>470000</v>
      </c>
      <c r="K135">
        <v>0.43</v>
      </c>
      <c r="L135" t="s">
        <v>157</v>
      </c>
    </row>
    <row r="136" spans="1:12" x14ac:dyDescent="0.3">
      <c r="A136" t="s">
        <v>188</v>
      </c>
      <c r="B136" t="s">
        <v>37</v>
      </c>
      <c r="C136" t="s">
        <v>153</v>
      </c>
      <c r="D136">
        <v>500</v>
      </c>
      <c r="E136">
        <v>300</v>
      </c>
      <c r="F136">
        <v>150</v>
      </c>
      <c r="G136">
        <v>405</v>
      </c>
      <c r="H136">
        <v>725</v>
      </c>
      <c r="I136">
        <v>1200000</v>
      </c>
      <c r="J136">
        <v>440000</v>
      </c>
      <c r="K136">
        <v>0.43</v>
      </c>
      <c r="L136" t="s">
        <v>157</v>
      </c>
    </row>
    <row r="137" spans="1:12" x14ac:dyDescent="0.3">
      <c r="A137" t="s">
        <v>188</v>
      </c>
      <c r="B137" t="s">
        <v>38</v>
      </c>
      <c r="C137" t="s">
        <v>153</v>
      </c>
      <c r="D137">
        <v>675</v>
      </c>
      <c r="E137">
        <v>400</v>
      </c>
      <c r="F137">
        <v>150</v>
      </c>
      <c r="G137">
        <v>405</v>
      </c>
      <c r="H137">
        <v>800</v>
      </c>
      <c r="I137">
        <v>1200000</v>
      </c>
      <c r="J137">
        <v>440000</v>
      </c>
      <c r="K137">
        <v>0.43</v>
      </c>
      <c r="L137" t="s">
        <v>157</v>
      </c>
    </row>
    <row r="138" spans="1:12" x14ac:dyDescent="0.3">
      <c r="A138" t="s">
        <v>188</v>
      </c>
      <c r="B138" t="s">
        <v>19</v>
      </c>
      <c r="C138" t="s">
        <v>154</v>
      </c>
      <c r="D138">
        <v>975</v>
      </c>
      <c r="E138">
        <v>600</v>
      </c>
      <c r="F138">
        <v>150</v>
      </c>
      <c r="G138">
        <v>405</v>
      </c>
      <c r="H138">
        <v>1550</v>
      </c>
      <c r="I138">
        <v>1300000</v>
      </c>
      <c r="J138">
        <v>470000</v>
      </c>
      <c r="K138">
        <v>0.43</v>
      </c>
      <c r="L138" t="s">
        <v>157</v>
      </c>
    </row>
    <row r="139" spans="1:12" x14ac:dyDescent="0.3">
      <c r="A139" t="s">
        <v>188</v>
      </c>
      <c r="B139" t="s">
        <v>152</v>
      </c>
      <c r="C139" t="s">
        <v>154</v>
      </c>
      <c r="D139">
        <v>550</v>
      </c>
      <c r="E139">
        <v>325</v>
      </c>
      <c r="F139">
        <v>150</v>
      </c>
      <c r="G139">
        <v>405</v>
      </c>
      <c r="H139">
        <v>1300</v>
      </c>
      <c r="I139">
        <v>1200000</v>
      </c>
      <c r="J139">
        <v>440000</v>
      </c>
      <c r="K139">
        <v>0.43</v>
      </c>
      <c r="L139" t="s">
        <v>157</v>
      </c>
    </row>
    <row r="140" spans="1:12" x14ac:dyDescent="0.3">
      <c r="A140" s="1" t="s">
        <v>188</v>
      </c>
      <c r="B140" s="1" t="s">
        <v>40</v>
      </c>
      <c r="C140" s="1" t="s">
        <v>154</v>
      </c>
      <c r="D140" s="1">
        <v>250</v>
      </c>
      <c r="E140" s="1">
        <v>150</v>
      </c>
      <c r="F140" s="1">
        <v>150</v>
      </c>
      <c r="G140" s="1">
        <v>405</v>
      </c>
      <c r="H140" s="1">
        <v>850</v>
      </c>
      <c r="I140" s="1">
        <v>1100000</v>
      </c>
      <c r="J140" s="1">
        <v>400000</v>
      </c>
      <c r="K140" s="1">
        <v>0.43</v>
      </c>
      <c r="L140" s="1" t="s">
        <v>157</v>
      </c>
    </row>
    <row r="141" spans="1:12" x14ac:dyDescent="0.3">
      <c r="A141" t="s">
        <v>189</v>
      </c>
      <c r="B141" t="s">
        <v>44</v>
      </c>
      <c r="C141" t="s">
        <v>153</v>
      </c>
      <c r="D141">
        <v>1300</v>
      </c>
      <c r="E141">
        <v>775</v>
      </c>
      <c r="F141">
        <v>145</v>
      </c>
      <c r="G141">
        <v>405</v>
      </c>
      <c r="H141">
        <v>1700</v>
      </c>
      <c r="I141">
        <v>1700000</v>
      </c>
      <c r="J141">
        <v>620000</v>
      </c>
      <c r="K141">
        <v>0.46</v>
      </c>
      <c r="L141" t="s">
        <v>161</v>
      </c>
    </row>
    <row r="142" spans="1:12" x14ac:dyDescent="0.3">
      <c r="A142" t="s">
        <v>189</v>
      </c>
      <c r="B142" t="s">
        <v>162</v>
      </c>
      <c r="C142" t="s">
        <v>153</v>
      </c>
      <c r="D142">
        <v>1200</v>
      </c>
      <c r="E142">
        <v>725</v>
      </c>
      <c r="F142">
        <v>145</v>
      </c>
      <c r="G142">
        <v>405</v>
      </c>
      <c r="H142">
        <v>1550</v>
      </c>
      <c r="I142">
        <v>1700000</v>
      </c>
      <c r="J142">
        <v>620000</v>
      </c>
      <c r="K142">
        <v>0.46</v>
      </c>
      <c r="L142" t="s">
        <v>161</v>
      </c>
    </row>
    <row r="143" spans="1:12" x14ac:dyDescent="0.3">
      <c r="A143" t="s">
        <v>189</v>
      </c>
      <c r="B143" t="s">
        <v>35</v>
      </c>
      <c r="C143" t="s">
        <v>153</v>
      </c>
      <c r="D143">
        <v>1000</v>
      </c>
      <c r="E143">
        <v>575</v>
      </c>
      <c r="F143">
        <v>145</v>
      </c>
      <c r="G143">
        <v>405</v>
      </c>
      <c r="H143">
        <v>1450</v>
      </c>
      <c r="I143">
        <v>1600000</v>
      </c>
      <c r="J143">
        <v>580000</v>
      </c>
      <c r="K143">
        <v>0.46</v>
      </c>
      <c r="L143" t="s">
        <v>161</v>
      </c>
    </row>
    <row r="144" spans="1:12" x14ac:dyDescent="0.3">
      <c r="A144" t="s">
        <v>189</v>
      </c>
      <c r="B144" t="s">
        <v>36</v>
      </c>
      <c r="C144" t="s">
        <v>153</v>
      </c>
      <c r="D144">
        <v>1000</v>
      </c>
      <c r="E144">
        <v>575</v>
      </c>
      <c r="F144">
        <v>145</v>
      </c>
      <c r="G144">
        <v>405</v>
      </c>
      <c r="H144">
        <v>1450</v>
      </c>
      <c r="I144">
        <v>1600000</v>
      </c>
      <c r="J144">
        <v>580000</v>
      </c>
      <c r="K144">
        <v>0.46</v>
      </c>
      <c r="L144" t="s">
        <v>161</v>
      </c>
    </row>
    <row r="145" spans="1:12" x14ac:dyDescent="0.3">
      <c r="A145" t="s">
        <v>189</v>
      </c>
      <c r="B145" t="s">
        <v>37</v>
      </c>
      <c r="C145" t="s">
        <v>153</v>
      </c>
      <c r="D145">
        <v>575</v>
      </c>
      <c r="E145">
        <v>325</v>
      </c>
      <c r="F145">
        <v>145</v>
      </c>
      <c r="G145">
        <v>405</v>
      </c>
      <c r="H145">
        <v>850</v>
      </c>
      <c r="I145">
        <v>1400000</v>
      </c>
      <c r="J145">
        <v>510000</v>
      </c>
      <c r="K145">
        <v>0.46</v>
      </c>
      <c r="L145" t="s">
        <v>161</v>
      </c>
    </row>
    <row r="146" spans="1:12" x14ac:dyDescent="0.3">
      <c r="A146" t="s">
        <v>189</v>
      </c>
      <c r="B146" t="s">
        <v>38</v>
      </c>
      <c r="C146" t="s">
        <v>153</v>
      </c>
      <c r="D146">
        <v>775</v>
      </c>
      <c r="E146">
        <v>450</v>
      </c>
      <c r="F146">
        <v>145</v>
      </c>
      <c r="G146">
        <v>405</v>
      </c>
      <c r="H146">
        <v>925</v>
      </c>
      <c r="I146">
        <v>1400000</v>
      </c>
      <c r="J146">
        <v>510000</v>
      </c>
      <c r="K146">
        <v>0.46</v>
      </c>
      <c r="L146" t="s">
        <v>161</v>
      </c>
    </row>
    <row r="147" spans="1:12" x14ac:dyDescent="0.3">
      <c r="A147" t="s">
        <v>189</v>
      </c>
      <c r="B147" t="s">
        <v>19</v>
      </c>
      <c r="C147" t="s">
        <v>154</v>
      </c>
      <c r="D147">
        <v>1150</v>
      </c>
      <c r="E147">
        <v>650</v>
      </c>
      <c r="F147">
        <v>145</v>
      </c>
      <c r="G147">
        <v>405</v>
      </c>
      <c r="H147">
        <v>1750</v>
      </c>
      <c r="I147">
        <v>1500000</v>
      </c>
      <c r="J147">
        <v>550000</v>
      </c>
      <c r="K147">
        <v>0.46</v>
      </c>
      <c r="L147" t="s">
        <v>161</v>
      </c>
    </row>
    <row r="148" spans="1:12" x14ac:dyDescent="0.3">
      <c r="A148" t="s">
        <v>189</v>
      </c>
      <c r="B148" t="s">
        <v>152</v>
      </c>
      <c r="C148" t="s">
        <v>154</v>
      </c>
      <c r="D148">
        <v>650</v>
      </c>
      <c r="E148">
        <v>350</v>
      </c>
      <c r="F148">
        <v>145</v>
      </c>
      <c r="G148">
        <v>405</v>
      </c>
      <c r="H148">
        <v>1500</v>
      </c>
      <c r="I148">
        <v>1400000</v>
      </c>
      <c r="J148">
        <v>510000</v>
      </c>
      <c r="K148">
        <v>0.46</v>
      </c>
      <c r="L148" t="s">
        <v>161</v>
      </c>
    </row>
    <row r="149" spans="1:12" x14ac:dyDescent="0.3">
      <c r="A149" s="1" t="s">
        <v>189</v>
      </c>
      <c r="B149" s="1" t="s">
        <v>40</v>
      </c>
      <c r="C149" s="1" t="s">
        <v>154</v>
      </c>
      <c r="D149" s="1">
        <v>300</v>
      </c>
      <c r="E149" s="1">
        <v>175</v>
      </c>
      <c r="F149" s="1">
        <v>145</v>
      </c>
      <c r="G149" s="1">
        <v>405</v>
      </c>
      <c r="H149" s="1">
        <v>975</v>
      </c>
      <c r="I149" s="1">
        <v>1300000</v>
      </c>
      <c r="J149" s="1">
        <v>470000</v>
      </c>
      <c r="K149" s="1">
        <v>0.46</v>
      </c>
      <c r="L149" s="1" t="s">
        <v>161</v>
      </c>
    </row>
    <row r="150" spans="1:12" x14ac:dyDescent="0.3">
      <c r="A150" t="s">
        <v>190</v>
      </c>
      <c r="B150" t="s">
        <v>44</v>
      </c>
      <c r="C150" t="s">
        <v>153</v>
      </c>
      <c r="D150">
        <v>1000</v>
      </c>
      <c r="E150">
        <v>600</v>
      </c>
      <c r="F150">
        <v>195</v>
      </c>
      <c r="G150">
        <v>620</v>
      </c>
      <c r="H150">
        <v>875</v>
      </c>
      <c r="I150">
        <v>1300000</v>
      </c>
      <c r="J150">
        <v>470000</v>
      </c>
      <c r="K150">
        <v>0.55000000000000004</v>
      </c>
      <c r="L150" t="s">
        <v>160</v>
      </c>
    </row>
    <row r="151" spans="1:12" x14ac:dyDescent="0.3">
      <c r="A151" t="s">
        <v>190</v>
      </c>
      <c r="B151" t="s">
        <v>35</v>
      </c>
      <c r="C151" t="s">
        <v>153</v>
      </c>
      <c r="D151">
        <v>725</v>
      </c>
      <c r="E151">
        <v>425</v>
      </c>
      <c r="F151">
        <v>195</v>
      </c>
      <c r="G151">
        <v>620</v>
      </c>
      <c r="H151">
        <v>700</v>
      </c>
      <c r="I151">
        <v>1200000</v>
      </c>
      <c r="J151">
        <v>440000</v>
      </c>
      <c r="K151">
        <v>0.55000000000000004</v>
      </c>
      <c r="L151" t="s">
        <v>160</v>
      </c>
    </row>
    <row r="152" spans="1:12" x14ac:dyDescent="0.3">
      <c r="A152" t="s">
        <v>190</v>
      </c>
      <c r="B152" t="s">
        <v>36</v>
      </c>
      <c r="C152" t="s">
        <v>153</v>
      </c>
      <c r="D152">
        <v>700</v>
      </c>
      <c r="E152">
        <v>425</v>
      </c>
      <c r="F152">
        <v>195</v>
      </c>
      <c r="G152">
        <v>620</v>
      </c>
      <c r="H152">
        <v>550</v>
      </c>
      <c r="I152">
        <v>1100000</v>
      </c>
      <c r="J152">
        <v>400000</v>
      </c>
      <c r="K152">
        <v>0.55000000000000004</v>
      </c>
      <c r="L152" t="s">
        <v>160</v>
      </c>
    </row>
    <row r="153" spans="1:12" x14ac:dyDescent="0.3">
      <c r="A153" t="s">
        <v>190</v>
      </c>
      <c r="B153" t="s">
        <v>37</v>
      </c>
      <c r="C153" t="s">
        <v>153</v>
      </c>
      <c r="D153">
        <v>400</v>
      </c>
      <c r="E153">
        <v>250</v>
      </c>
      <c r="F153">
        <v>195</v>
      </c>
      <c r="G153">
        <v>620</v>
      </c>
      <c r="H153">
        <v>325</v>
      </c>
      <c r="I153">
        <v>1000000</v>
      </c>
      <c r="J153">
        <v>370000</v>
      </c>
      <c r="K153">
        <v>0.55000000000000004</v>
      </c>
      <c r="L153" t="s">
        <v>160</v>
      </c>
    </row>
    <row r="154" spans="1:12" x14ac:dyDescent="0.3">
      <c r="A154" t="s">
        <v>190</v>
      </c>
      <c r="B154" t="s">
        <v>38</v>
      </c>
      <c r="C154" t="s">
        <v>153</v>
      </c>
      <c r="D154">
        <v>550</v>
      </c>
      <c r="E154">
        <v>325</v>
      </c>
      <c r="F154">
        <v>195</v>
      </c>
      <c r="G154">
        <v>620</v>
      </c>
      <c r="H154">
        <v>350</v>
      </c>
      <c r="I154">
        <v>1000000</v>
      </c>
      <c r="J154">
        <v>370000</v>
      </c>
      <c r="K154">
        <v>0.55000000000000004</v>
      </c>
      <c r="L154" t="s">
        <v>160</v>
      </c>
    </row>
    <row r="155" spans="1:12" x14ac:dyDescent="0.3">
      <c r="A155" t="s">
        <v>190</v>
      </c>
      <c r="B155" t="s">
        <v>19</v>
      </c>
      <c r="C155" t="s">
        <v>154</v>
      </c>
      <c r="D155">
        <v>800</v>
      </c>
      <c r="E155">
        <v>475</v>
      </c>
      <c r="F155">
        <v>195</v>
      </c>
      <c r="G155">
        <v>620</v>
      </c>
      <c r="H155">
        <v>725</v>
      </c>
      <c r="I155">
        <v>1100000</v>
      </c>
      <c r="J155">
        <v>400000</v>
      </c>
      <c r="K155">
        <v>0.55000000000000004</v>
      </c>
      <c r="L155" t="s">
        <v>160</v>
      </c>
    </row>
    <row r="156" spans="1:12" x14ac:dyDescent="0.3">
      <c r="A156" t="s">
        <v>190</v>
      </c>
      <c r="B156" t="s">
        <v>152</v>
      </c>
      <c r="C156" t="s">
        <v>154</v>
      </c>
      <c r="D156">
        <v>450</v>
      </c>
      <c r="E156">
        <v>275</v>
      </c>
      <c r="F156">
        <v>195</v>
      </c>
      <c r="G156">
        <v>620</v>
      </c>
      <c r="H156">
        <v>575</v>
      </c>
      <c r="I156">
        <v>1000000</v>
      </c>
      <c r="J156">
        <v>370000</v>
      </c>
      <c r="K156">
        <v>0.55000000000000004</v>
      </c>
      <c r="L156" t="s">
        <v>160</v>
      </c>
    </row>
    <row r="157" spans="1:12" x14ac:dyDescent="0.3">
      <c r="A157" s="1" t="s">
        <v>190</v>
      </c>
      <c r="B157" s="1" t="s">
        <v>40</v>
      </c>
      <c r="C157" s="1" t="s">
        <v>154</v>
      </c>
      <c r="D157" s="1">
        <v>225</v>
      </c>
      <c r="E157" s="1">
        <v>125</v>
      </c>
      <c r="F157" s="1">
        <v>195</v>
      </c>
      <c r="G157" s="1">
        <v>620</v>
      </c>
      <c r="H157" s="1">
        <v>375</v>
      </c>
      <c r="I157" s="1">
        <v>900000</v>
      </c>
      <c r="J157" s="1">
        <v>330000</v>
      </c>
      <c r="K157" s="1">
        <v>0.55000000000000004</v>
      </c>
      <c r="L157" s="1" t="s">
        <v>160</v>
      </c>
    </row>
    <row r="158" spans="1:12" x14ac:dyDescent="0.3">
      <c r="A158" t="s">
        <v>191</v>
      </c>
      <c r="B158" t="s">
        <v>44</v>
      </c>
      <c r="C158" t="s">
        <v>153</v>
      </c>
      <c r="D158">
        <v>1150</v>
      </c>
      <c r="E158">
        <v>675</v>
      </c>
      <c r="F158">
        <v>170</v>
      </c>
      <c r="G158">
        <v>800</v>
      </c>
      <c r="H158">
        <v>1000</v>
      </c>
      <c r="I158">
        <v>1100000</v>
      </c>
      <c r="J158">
        <v>400000</v>
      </c>
      <c r="K158">
        <v>0.68</v>
      </c>
      <c r="L158" t="s">
        <v>160</v>
      </c>
    </row>
    <row r="159" spans="1:12" x14ac:dyDescent="0.3">
      <c r="A159" t="s">
        <v>191</v>
      </c>
      <c r="B159" t="s">
        <v>35</v>
      </c>
      <c r="C159" t="s">
        <v>153</v>
      </c>
      <c r="D159">
        <v>825</v>
      </c>
      <c r="E159">
        <v>500</v>
      </c>
      <c r="F159">
        <v>170</v>
      </c>
      <c r="G159">
        <v>800</v>
      </c>
      <c r="H159">
        <v>825</v>
      </c>
      <c r="I159">
        <v>1000000</v>
      </c>
      <c r="J159">
        <v>370000</v>
      </c>
      <c r="K159">
        <v>0.68</v>
      </c>
      <c r="L159" t="s">
        <v>160</v>
      </c>
    </row>
    <row r="160" spans="1:12" x14ac:dyDescent="0.3">
      <c r="A160" t="s">
        <v>191</v>
      </c>
      <c r="B160" t="s">
        <v>36</v>
      </c>
      <c r="C160" t="s">
        <v>153</v>
      </c>
      <c r="D160">
        <v>800</v>
      </c>
      <c r="E160">
        <v>475</v>
      </c>
      <c r="F160">
        <v>170</v>
      </c>
      <c r="G160">
        <v>800</v>
      </c>
      <c r="H160">
        <v>625</v>
      </c>
      <c r="I160">
        <v>900000</v>
      </c>
      <c r="J160">
        <v>330000</v>
      </c>
      <c r="K160">
        <v>0.68</v>
      </c>
      <c r="L160" t="s">
        <v>160</v>
      </c>
    </row>
    <row r="161" spans="1:12" x14ac:dyDescent="0.3">
      <c r="A161" t="s">
        <v>191</v>
      </c>
      <c r="B161" t="s">
        <v>37</v>
      </c>
      <c r="C161" t="s">
        <v>153</v>
      </c>
      <c r="D161">
        <v>475</v>
      </c>
      <c r="E161">
        <v>275</v>
      </c>
      <c r="F161">
        <v>170</v>
      </c>
      <c r="G161">
        <v>800</v>
      </c>
      <c r="H161">
        <v>375</v>
      </c>
      <c r="I161">
        <v>800000</v>
      </c>
      <c r="J161">
        <v>290000</v>
      </c>
      <c r="K161">
        <v>0.68</v>
      </c>
      <c r="L161" t="s">
        <v>160</v>
      </c>
    </row>
    <row r="162" spans="1:12" x14ac:dyDescent="0.3">
      <c r="A162" t="s">
        <v>191</v>
      </c>
      <c r="B162" t="s">
        <v>38</v>
      </c>
      <c r="C162" t="s">
        <v>153</v>
      </c>
      <c r="D162">
        <v>625</v>
      </c>
      <c r="E162">
        <v>375</v>
      </c>
      <c r="F162">
        <v>170</v>
      </c>
      <c r="G162">
        <v>800</v>
      </c>
      <c r="H162">
        <v>400</v>
      </c>
      <c r="I162">
        <v>800000</v>
      </c>
      <c r="J162">
        <v>290000</v>
      </c>
      <c r="K162">
        <v>0.68</v>
      </c>
      <c r="L162" t="s">
        <v>160</v>
      </c>
    </row>
    <row r="163" spans="1:12" x14ac:dyDescent="0.3">
      <c r="A163" t="s">
        <v>191</v>
      </c>
      <c r="B163" t="s">
        <v>19</v>
      </c>
      <c r="C163" t="s">
        <v>154</v>
      </c>
      <c r="D163">
        <v>925</v>
      </c>
      <c r="E163">
        <v>550</v>
      </c>
      <c r="F163">
        <v>170</v>
      </c>
      <c r="G163">
        <v>800</v>
      </c>
      <c r="H163">
        <v>850</v>
      </c>
      <c r="I163">
        <v>900000</v>
      </c>
      <c r="J163">
        <v>330000</v>
      </c>
      <c r="K163">
        <v>0.68</v>
      </c>
      <c r="L163" t="s">
        <v>160</v>
      </c>
    </row>
    <row r="164" spans="1:12" x14ac:dyDescent="0.3">
      <c r="A164" t="s">
        <v>191</v>
      </c>
      <c r="B164" t="s">
        <v>152</v>
      </c>
      <c r="C164" t="s">
        <v>154</v>
      </c>
      <c r="D164">
        <v>525</v>
      </c>
      <c r="E164">
        <v>300</v>
      </c>
      <c r="F164">
        <v>170</v>
      </c>
      <c r="G164">
        <v>800</v>
      </c>
      <c r="H164">
        <v>650</v>
      </c>
      <c r="I164">
        <v>800000</v>
      </c>
      <c r="J164">
        <v>290000</v>
      </c>
      <c r="K164">
        <v>0.68</v>
      </c>
      <c r="L164" t="s">
        <v>160</v>
      </c>
    </row>
    <row r="165" spans="1:12" x14ac:dyDescent="0.3">
      <c r="A165" s="1" t="s">
        <v>191</v>
      </c>
      <c r="B165" s="1" t="s">
        <v>40</v>
      </c>
      <c r="C165" s="1" t="s">
        <v>154</v>
      </c>
      <c r="D165" s="1">
        <v>250</v>
      </c>
      <c r="E165" s="1">
        <v>150</v>
      </c>
      <c r="F165" s="1">
        <v>170</v>
      </c>
      <c r="G165" s="1">
        <v>800</v>
      </c>
      <c r="H165" s="1">
        <v>425</v>
      </c>
      <c r="I165" s="1">
        <v>800000</v>
      </c>
      <c r="J165" s="1">
        <v>290000</v>
      </c>
      <c r="K165" s="1">
        <v>0.68</v>
      </c>
      <c r="L165" s="1" t="s">
        <v>160</v>
      </c>
    </row>
    <row r="166" spans="1:12" x14ac:dyDescent="0.3">
      <c r="A166" t="s">
        <v>192</v>
      </c>
      <c r="B166" t="s">
        <v>44</v>
      </c>
      <c r="C166" t="s">
        <v>153</v>
      </c>
      <c r="D166">
        <v>1400</v>
      </c>
      <c r="E166">
        <v>800</v>
      </c>
      <c r="F166">
        <v>220</v>
      </c>
      <c r="G166">
        <v>885</v>
      </c>
      <c r="H166">
        <v>1150</v>
      </c>
      <c r="I166">
        <v>1400000</v>
      </c>
      <c r="J166">
        <v>510000</v>
      </c>
      <c r="K166">
        <v>0.68</v>
      </c>
      <c r="L166" t="s">
        <v>160</v>
      </c>
    </row>
    <row r="167" spans="1:12" x14ac:dyDescent="0.3">
      <c r="A167" t="s">
        <v>192</v>
      </c>
      <c r="B167" t="s">
        <v>35</v>
      </c>
      <c r="C167" t="s">
        <v>153</v>
      </c>
      <c r="D167">
        <v>1000</v>
      </c>
      <c r="E167">
        <v>575</v>
      </c>
      <c r="F167">
        <v>220</v>
      </c>
      <c r="G167">
        <v>885</v>
      </c>
      <c r="H167">
        <v>925</v>
      </c>
      <c r="I167">
        <v>1400000</v>
      </c>
      <c r="J167">
        <v>510000</v>
      </c>
      <c r="K167">
        <v>0.68</v>
      </c>
      <c r="L167" t="s">
        <v>160</v>
      </c>
    </row>
    <row r="168" spans="1:12" x14ac:dyDescent="0.3">
      <c r="A168" t="s">
        <v>192</v>
      </c>
      <c r="B168" t="s">
        <v>36</v>
      </c>
      <c r="C168" t="s">
        <v>153</v>
      </c>
      <c r="D168">
        <v>975</v>
      </c>
      <c r="E168">
        <v>575</v>
      </c>
      <c r="F168">
        <v>220</v>
      </c>
      <c r="G168">
        <v>885</v>
      </c>
      <c r="H168">
        <v>725</v>
      </c>
      <c r="I168">
        <v>1300000</v>
      </c>
      <c r="J168">
        <v>470000</v>
      </c>
      <c r="K168">
        <v>0.68</v>
      </c>
      <c r="L168" t="s">
        <v>160</v>
      </c>
    </row>
    <row r="169" spans="1:12" x14ac:dyDescent="0.3">
      <c r="A169" t="s">
        <v>192</v>
      </c>
      <c r="B169" t="s">
        <v>37</v>
      </c>
      <c r="C169" t="s">
        <v>153</v>
      </c>
      <c r="D169">
        <v>550</v>
      </c>
      <c r="E169">
        <v>325</v>
      </c>
      <c r="F169">
        <v>220</v>
      </c>
      <c r="G169">
        <v>885</v>
      </c>
      <c r="H169">
        <v>425</v>
      </c>
      <c r="I169">
        <v>1200000</v>
      </c>
      <c r="J169">
        <v>440000</v>
      </c>
      <c r="K169">
        <v>0.68</v>
      </c>
      <c r="L169" t="s">
        <v>160</v>
      </c>
    </row>
    <row r="170" spans="1:12" x14ac:dyDescent="0.3">
      <c r="A170" t="s">
        <v>192</v>
      </c>
      <c r="B170" t="s">
        <v>38</v>
      </c>
      <c r="C170" t="s">
        <v>153</v>
      </c>
      <c r="D170">
        <v>750</v>
      </c>
      <c r="E170">
        <v>450</v>
      </c>
      <c r="F170">
        <v>220</v>
      </c>
      <c r="G170">
        <v>885</v>
      </c>
      <c r="H170">
        <v>450</v>
      </c>
      <c r="I170">
        <v>1200000</v>
      </c>
      <c r="J170">
        <v>440000</v>
      </c>
      <c r="K170">
        <v>0.68</v>
      </c>
      <c r="L170" t="s">
        <v>160</v>
      </c>
    </row>
    <row r="171" spans="1:12" x14ac:dyDescent="0.3">
      <c r="A171" t="s">
        <v>192</v>
      </c>
      <c r="B171" t="s">
        <v>19</v>
      </c>
      <c r="C171" t="s">
        <v>154</v>
      </c>
      <c r="D171">
        <v>1100</v>
      </c>
      <c r="E171">
        <v>650</v>
      </c>
      <c r="F171">
        <v>220</v>
      </c>
      <c r="G171">
        <v>885</v>
      </c>
      <c r="H171">
        <v>975</v>
      </c>
      <c r="I171">
        <v>1200000</v>
      </c>
      <c r="J171">
        <v>440000</v>
      </c>
      <c r="K171">
        <v>0.68</v>
      </c>
      <c r="L171" t="s">
        <v>160</v>
      </c>
    </row>
    <row r="172" spans="1:12" x14ac:dyDescent="0.3">
      <c r="A172" t="s">
        <v>192</v>
      </c>
      <c r="B172" t="s">
        <v>152</v>
      </c>
      <c r="C172" t="s">
        <v>154</v>
      </c>
      <c r="D172">
        <v>625</v>
      </c>
      <c r="E172">
        <v>350</v>
      </c>
      <c r="F172">
        <v>220</v>
      </c>
      <c r="G172">
        <v>885</v>
      </c>
      <c r="H172">
        <v>750</v>
      </c>
      <c r="I172">
        <v>1100000</v>
      </c>
      <c r="J172">
        <v>400000</v>
      </c>
      <c r="K172">
        <v>0.68</v>
      </c>
      <c r="L172" t="s">
        <v>160</v>
      </c>
    </row>
    <row r="173" spans="1:12" x14ac:dyDescent="0.3">
      <c r="A173" s="1" t="s">
        <v>192</v>
      </c>
      <c r="B173" s="1" t="s">
        <v>40</v>
      </c>
      <c r="C173" s="1" t="s">
        <v>154</v>
      </c>
      <c r="D173" s="1">
        <v>300</v>
      </c>
      <c r="E173" s="1">
        <v>175</v>
      </c>
      <c r="F173" s="1">
        <v>220</v>
      </c>
      <c r="G173" s="1">
        <v>885</v>
      </c>
      <c r="H173" s="1">
        <v>500</v>
      </c>
      <c r="I173" s="1">
        <v>1000000</v>
      </c>
      <c r="J173" s="1">
        <v>370000</v>
      </c>
      <c r="K173" s="1">
        <v>0.68</v>
      </c>
      <c r="L173" s="1" t="s">
        <v>160</v>
      </c>
    </row>
    <row r="174" spans="1:12" x14ac:dyDescent="0.3">
      <c r="A174" t="s">
        <v>193</v>
      </c>
      <c r="B174" t="s">
        <v>44</v>
      </c>
      <c r="C174" t="s">
        <v>153</v>
      </c>
      <c r="D174">
        <v>975</v>
      </c>
      <c r="E174">
        <v>425</v>
      </c>
      <c r="F174">
        <v>110</v>
      </c>
      <c r="G174">
        <v>350</v>
      </c>
      <c r="H174">
        <v>1100</v>
      </c>
      <c r="I174">
        <v>1100000</v>
      </c>
      <c r="J174">
        <v>400000</v>
      </c>
      <c r="K174">
        <v>0.35</v>
      </c>
      <c r="L174" t="s">
        <v>161</v>
      </c>
    </row>
    <row r="175" spans="1:12" x14ac:dyDescent="0.3">
      <c r="A175" t="s">
        <v>193</v>
      </c>
      <c r="B175" t="s">
        <v>35</v>
      </c>
      <c r="C175" t="s">
        <v>153</v>
      </c>
      <c r="D175">
        <v>625</v>
      </c>
      <c r="E175">
        <v>275</v>
      </c>
      <c r="F175">
        <v>110</v>
      </c>
      <c r="G175">
        <v>350</v>
      </c>
      <c r="H175">
        <v>850</v>
      </c>
      <c r="I175">
        <v>1100000</v>
      </c>
      <c r="J175">
        <v>400000</v>
      </c>
      <c r="K175">
        <v>0.35</v>
      </c>
      <c r="L175" t="s">
        <v>161</v>
      </c>
    </row>
    <row r="176" spans="1:12" x14ac:dyDescent="0.3">
      <c r="A176" t="s">
        <v>193</v>
      </c>
      <c r="B176" t="s">
        <v>36</v>
      </c>
      <c r="C176" t="s">
        <v>153</v>
      </c>
      <c r="D176">
        <v>625</v>
      </c>
      <c r="E176">
        <v>275</v>
      </c>
      <c r="F176">
        <v>110</v>
      </c>
      <c r="G176">
        <v>350</v>
      </c>
      <c r="H176">
        <v>850</v>
      </c>
      <c r="I176">
        <v>1100000</v>
      </c>
      <c r="J176">
        <v>400000</v>
      </c>
      <c r="K176">
        <v>0.35</v>
      </c>
      <c r="L176" t="s">
        <v>161</v>
      </c>
    </row>
    <row r="177" spans="1:12" x14ac:dyDescent="0.3">
      <c r="A177" t="s">
        <v>193</v>
      </c>
      <c r="B177" t="s">
        <v>37</v>
      </c>
      <c r="C177" t="s">
        <v>153</v>
      </c>
      <c r="D177">
        <v>350</v>
      </c>
      <c r="E177">
        <v>150</v>
      </c>
      <c r="F177">
        <v>110</v>
      </c>
      <c r="G177">
        <v>350</v>
      </c>
      <c r="H177">
        <v>500</v>
      </c>
      <c r="I177">
        <v>1000000</v>
      </c>
      <c r="J177">
        <v>370000</v>
      </c>
      <c r="K177">
        <v>0.35</v>
      </c>
      <c r="L177" t="s">
        <v>161</v>
      </c>
    </row>
    <row r="178" spans="1:12" x14ac:dyDescent="0.3">
      <c r="A178" t="s">
        <v>193</v>
      </c>
      <c r="B178" t="s">
        <v>38</v>
      </c>
      <c r="C178" t="s">
        <v>153</v>
      </c>
      <c r="D178">
        <v>475</v>
      </c>
      <c r="E178">
        <v>225</v>
      </c>
      <c r="F178">
        <v>110</v>
      </c>
      <c r="G178">
        <v>350</v>
      </c>
      <c r="H178">
        <v>550</v>
      </c>
      <c r="I178">
        <v>1000000</v>
      </c>
      <c r="J178">
        <v>370000</v>
      </c>
      <c r="K178">
        <v>0.35</v>
      </c>
      <c r="L178" t="s">
        <v>161</v>
      </c>
    </row>
    <row r="179" spans="1:12" x14ac:dyDescent="0.3">
      <c r="A179" t="s">
        <v>193</v>
      </c>
      <c r="B179" t="s">
        <v>19</v>
      </c>
      <c r="C179" t="s">
        <v>154</v>
      </c>
      <c r="D179">
        <v>700</v>
      </c>
      <c r="E179">
        <v>325</v>
      </c>
      <c r="F179">
        <v>110</v>
      </c>
      <c r="G179">
        <v>350</v>
      </c>
      <c r="H179">
        <v>1050</v>
      </c>
      <c r="I179">
        <v>1000000</v>
      </c>
      <c r="J179">
        <v>370000</v>
      </c>
      <c r="K179">
        <v>0.35</v>
      </c>
      <c r="L179" t="s">
        <v>161</v>
      </c>
    </row>
    <row r="180" spans="1:12" x14ac:dyDescent="0.3">
      <c r="A180" t="s">
        <v>193</v>
      </c>
      <c r="B180" t="s">
        <v>152</v>
      </c>
      <c r="C180" t="s">
        <v>154</v>
      </c>
      <c r="D180">
        <v>400</v>
      </c>
      <c r="E180">
        <v>175</v>
      </c>
      <c r="F180">
        <v>110</v>
      </c>
      <c r="G180">
        <v>350</v>
      </c>
      <c r="H180">
        <v>875</v>
      </c>
      <c r="I180">
        <v>900000</v>
      </c>
      <c r="J180">
        <v>330000</v>
      </c>
      <c r="K180">
        <v>0.35</v>
      </c>
      <c r="L180" t="s">
        <v>161</v>
      </c>
    </row>
    <row r="181" spans="1:12" x14ac:dyDescent="0.3">
      <c r="A181" s="1" t="s">
        <v>193</v>
      </c>
      <c r="B181" s="1" t="s">
        <v>40</v>
      </c>
      <c r="C181" s="1" t="s">
        <v>154</v>
      </c>
      <c r="D181" s="1">
        <v>175</v>
      </c>
      <c r="E181" s="1">
        <v>75</v>
      </c>
      <c r="F181" s="1">
        <v>110</v>
      </c>
      <c r="G181" s="1">
        <v>350</v>
      </c>
      <c r="H181" s="1">
        <v>575</v>
      </c>
      <c r="I181" s="1">
        <v>900000</v>
      </c>
      <c r="J181" s="1">
        <v>330000</v>
      </c>
      <c r="K181" s="1">
        <v>0.35</v>
      </c>
      <c r="L181" s="1" t="s">
        <v>161</v>
      </c>
    </row>
    <row r="182" spans="1:12" x14ac:dyDescent="0.3">
      <c r="A182" t="s">
        <v>194</v>
      </c>
      <c r="B182" t="s">
        <v>44</v>
      </c>
      <c r="C182" t="s">
        <v>153</v>
      </c>
      <c r="D182">
        <v>775</v>
      </c>
      <c r="E182">
        <v>450</v>
      </c>
      <c r="F182">
        <v>120</v>
      </c>
      <c r="G182">
        <v>370</v>
      </c>
      <c r="H182">
        <v>750</v>
      </c>
      <c r="I182">
        <v>800000</v>
      </c>
      <c r="J182">
        <v>290000</v>
      </c>
      <c r="K182">
        <v>0.31</v>
      </c>
      <c r="L182" t="s">
        <v>160</v>
      </c>
    </row>
    <row r="183" spans="1:12" x14ac:dyDescent="0.3">
      <c r="A183" t="s">
        <v>194</v>
      </c>
      <c r="B183" t="s">
        <v>35</v>
      </c>
      <c r="C183" t="s">
        <v>153</v>
      </c>
      <c r="D183">
        <v>575</v>
      </c>
      <c r="E183">
        <v>325</v>
      </c>
      <c r="F183">
        <v>120</v>
      </c>
      <c r="G183">
        <v>370</v>
      </c>
      <c r="H183">
        <v>600</v>
      </c>
      <c r="I183">
        <v>700000</v>
      </c>
      <c r="J183">
        <v>260000</v>
      </c>
      <c r="K183">
        <v>0.31</v>
      </c>
      <c r="L183" t="s">
        <v>160</v>
      </c>
    </row>
    <row r="184" spans="1:12" x14ac:dyDescent="0.3">
      <c r="A184" t="s">
        <v>194</v>
      </c>
      <c r="B184" t="s">
        <v>36</v>
      </c>
      <c r="C184" t="s">
        <v>153</v>
      </c>
      <c r="D184">
        <v>550</v>
      </c>
      <c r="E184">
        <v>325</v>
      </c>
      <c r="F184">
        <v>120</v>
      </c>
      <c r="G184">
        <v>370</v>
      </c>
      <c r="H184">
        <v>475</v>
      </c>
      <c r="I184">
        <v>700000</v>
      </c>
      <c r="J184">
        <v>260000</v>
      </c>
      <c r="K184">
        <v>0.31</v>
      </c>
      <c r="L184" t="s">
        <v>160</v>
      </c>
    </row>
    <row r="185" spans="1:12" x14ac:dyDescent="0.3">
      <c r="A185" t="s">
        <v>194</v>
      </c>
      <c r="B185" t="s">
        <v>37</v>
      </c>
      <c r="C185" t="s">
        <v>153</v>
      </c>
      <c r="D185">
        <v>325</v>
      </c>
      <c r="E185">
        <v>175</v>
      </c>
      <c r="F185">
        <v>120</v>
      </c>
      <c r="G185">
        <v>370</v>
      </c>
      <c r="H185">
        <v>275</v>
      </c>
      <c r="I185">
        <v>600000</v>
      </c>
      <c r="J185">
        <v>220000</v>
      </c>
      <c r="K185">
        <v>0.31</v>
      </c>
      <c r="L185" t="s">
        <v>160</v>
      </c>
    </row>
    <row r="186" spans="1:12" x14ac:dyDescent="0.3">
      <c r="A186" t="s">
        <v>194</v>
      </c>
      <c r="B186" t="s">
        <v>38</v>
      </c>
      <c r="C186" t="s">
        <v>153</v>
      </c>
      <c r="D186">
        <v>425</v>
      </c>
      <c r="E186">
        <v>250</v>
      </c>
      <c r="F186">
        <v>120</v>
      </c>
      <c r="G186">
        <v>370</v>
      </c>
      <c r="H186">
        <v>300</v>
      </c>
      <c r="I186">
        <v>600000</v>
      </c>
      <c r="J186">
        <v>220000</v>
      </c>
      <c r="K186">
        <v>0.31</v>
      </c>
      <c r="L186" t="s">
        <v>160</v>
      </c>
    </row>
    <row r="187" spans="1:12" x14ac:dyDescent="0.3">
      <c r="A187" t="s">
        <v>194</v>
      </c>
      <c r="B187" t="s">
        <v>19</v>
      </c>
      <c r="C187" t="s">
        <v>154</v>
      </c>
      <c r="D187">
        <v>625</v>
      </c>
      <c r="E187">
        <v>375</v>
      </c>
      <c r="F187">
        <v>120</v>
      </c>
      <c r="G187">
        <v>370</v>
      </c>
      <c r="H187">
        <v>625</v>
      </c>
      <c r="I187">
        <v>700000</v>
      </c>
      <c r="J187">
        <v>260000</v>
      </c>
      <c r="K187">
        <v>0.31</v>
      </c>
      <c r="L187" t="s">
        <v>160</v>
      </c>
    </row>
    <row r="188" spans="1:12" x14ac:dyDescent="0.3">
      <c r="A188" t="s">
        <v>194</v>
      </c>
      <c r="B188" t="s">
        <v>152</v>
      </c>
      <c r="C188" t="s">
        <v>154</v>
      </c>
      <c r="D188">
        <v>350</v>
      </c>
      <c r="E188">
        <v>200</v>
      </c>
      <c r="F188">
        <v>120</v>
      </c>
      <c r="G188">
        <v>370</v>
      </c>
      <c r="H188">
        <v>475</v>
      </c>
      <c r="I188">
        <v>600000</v>
      </c>
      <c r="J188">
        <v>220000</v>
      </c>
      <c r="K188">
        <v>0.31</v>
      </c>
      <c r="L188" t="s">
        <v>160</v>
      </c>
    </row>
    <row r="189" spans="1:12" x14ac:dyDescent="0.3">
      <c r="A189" s="1" t="s">
        <v>194</v>
      </c>
      <c r="B189" s="1" t="s">
        <v>40</v>
      </c>
      <c r="C189" s="1" t="s">
        <v>154</v>
      </c>
      <c r="D189" s="1">
        <v>175</v>
      </c>
      <c r="E189" s="1">
        <v>100</v>
      </c>
      <c r="F189" s="1">
        <v>120</v>
      </c>
      <c r="G189" s="1">
        <v>370</v>
      </c>
      <c r="H189" s="1">
        <v>325</v>
      </c>
      <c r="I189" s="1">
        <v>600000</v>
      </c>
      <c r="J189" s="1">
        <v>220000</v>
      </c>
      <c r="K189" s="1">
        <v>0.31</v>
      </c>
      <c r="L189" s="1" t="s">
        <v>160</v>
      </c>
    </row>
    <row r="190" spans="1:12" x14ac:dyDescent="0.3">
      <c r="A190" t="s">
        <v>195</v>
      </c>
      <c r="B190" t="s">
        <v>44</v>
      </c>
      <c r="C190" t="s">
        <v>153</v>
      </c>
      <c r="D190">
        <v>950</v>
      </c>
      <c r="E190">
        <v>600</v>
      </c>
      <c r="F190">
        <v>190</v>
      </c>
      <c r="G190">
        <v>410</v>
      </c>
      <c r="H190">
        <v>1100</v>
      </c>
      <c r="I190">
        <v>1500000</v>
      </c>
      <c r="J190">
        <v>550000</v>
      </c>
      <c r="K190">
        <v>0.4</v>
      </c>
      <c r="L190" t="s">
        <v>161</v>
      </c>
    </row>
    <row r="191" spans="1:12" x14ac:dyDescent="0.3">
      <c r="A191" t="s">
        <v>195</v>
      </c>
      <c r="B191" t="s">
        <v>35</v>
      </c>
      <c r="C191" t="s">
        <v>153</v>
      </c>
      <c r="D191">
        <v>650</v>
      </c>
      <c r="E191">
        <v>425</v>
      </c>
      <c r="F191">
        <v>190</v>
      </c>
      <c r="G191">
        <v>410</v>
      </c>
      <c r="H191">
        <v>900</v>
      </c>
      <c r="I191">
        <v>1300000</v>
      </c>
      <c r="J191">
        <v>470000</v>
      </c>
      <c r="K191">
        <v>0.4</v>
      </c>
      <c r="L191" t="s">
        <v>161</v>
      </c>
    </row>
    <row r="192" spans="1:12" x14ac:dyDescent="0.3">
      <c r="A192" t="s">
        <v>195</v>
      </c>
      <c r="B192" t="s">
        <v>36</v>
      </c>
      <c r="C192" t="s">
        <v>153</v>
      </c>
      <c r="D192">
        <v>650</v>
      </c>
      <c r="E192">
        <v>425</v>
      </c>
      <c r="F192">
        <v>190</v>
      </c>
      <c r="G192">
        <v>410</v>
      </c>
      <c r="H192">
        <v>900</v>
      </c>
      <c r="I192">
        <v>1300000</v>
      </c>
      <c r="J192">
        <v>470000</v>
      </c>
      <c r="K192">
        <v>0.4</v>
      </c>
      <c r="L192" t="s">
        <v>161</v>
      </c>
    </row>
    <row r="193" spans="1:12" x14ac:dyDescent="0.3">
      <c r="A193" t="s">
        <v>195</v>
      </c>
      <c r="B193" t="s">
        <v>37</v>
      </c>
      <c r="C193" t="s">
        <v>153</v>
      </c>
      <c r="D193">
        <v>375</v>
      </c>
      <c r="E193">
        <v>250</v>
      </c>
      <c r="F193">
        <v>190</v>
      </c>
      <c r="G193">
        <v>410</v>
      </c>
      <c r="H193">
        <v>525</v>
      </c>
      <c r="I193">
        <v>1200000</v>
      </c>
      <c r="J193">
        <v>440000</v>
      </c>
      <c r="K193">
        <v>0.4</v>
      </c>
      <c r="L193" t="s">
        <v>161</v>
      </c>
    </row>
    <row r="194" spans="1:12" x14ac:dyDescent="0.3">
      <c r="A194" t="s">
        <v>195</v>
      </c>
      <c r="B194" t="s">
        <v>38</v>
      </c>
      <c r="C194" t="s">
        <v>153</v>
      </c>
      <c r="D194">
        <v>500</v>
      </c>
      <c r="E194">
        <v>325</v>
      </c>
      <c r="F194">
        <v>190</v>
      </c>
      <c r="G194">
        <v>410</v>
      </c>
      <c r="H194">
        <v>575</v>
      </c>
      <c r="I194">
        <v>1200000</v>
      </c>
      <c r="J194">
        <v>440000</v>
      </c>
      <c r="K194">
        <v>0.4</v>
      </c>
      <c r="L194" t="s">
        <v>161</v>
      </c>
    </row>
    <row r="195" spans="1:12" x14ac:dyDescent="0.3">
      <c r="A195" t="s">
        <v>195</v>
      </c>
      <c r="B195" t="s">
        <v>19</v>
      </c>
      <c r="C195" t="s">
        <v>154</v>
      </c>
      <c r="D195">
        <v>725</v>
      </c>
      <c r="E195">
        <v>475</v>
      </c>
      <c r="F195">
        <v>190</v>
      </c>
      <c r="G195">
        <v>410</v>
      </c>
      <c r="H195">
        <v>1100</v>
      </c>
      <c r="I195">
        <v>1200000</v>
      </c>
      <c r="J195">
        <v>440000</v>
      </c>
      <c r="K195">
        <v>0.4</v>
      </c>
      <c r="L195" t="s">
        <v>161</v>
      </c>
    </row>
    <row r="196" spans="1:12" x14ac:dyDescent="0.3">
      <c r="A196" t="s">
        <v>195</v>
      </c>
      <c r="B196" t="s">
        <v>152</v>
      </c>
      <c r="C196" t="s">
        <v>154</v>
      </c>
      <c r="D196">
        <v>400</v>
      </c>
      <c r="E196">
        <v>275</v>
      </c>
      <c r="F196">
        <v>190</v>
      </c>
      <c r="G196">
        <v>410</v>
      </c>
      <c r="H196">
        <v>925</v>
      </c>
      <c r="I196">
        <v>1100000</v>
      </c>
      <c r="J196">
        <v>400000</v>
      </c>
      <c r="K196">
        <v>0.4</v>
      </c>
      <c r="L196" t="s">
        <v>161</v>
      </c>
    </row>
    <row r="197" spans="1:12" x14ac:dyDescent="0.3">
      <c r="A197" s="1" t="s">
        <v>195</v>
      </c>
      <c r="B197" s="1" t="s">
        <v>40</v>
      </c>
      <c r="C197" s="1" t="s">
        <v>154</v>
      </c>
      <c r="D197" s="1">
        <v>200</v>
      </c>
      <c r="E197" s="1">
        <v>125</v>
      </c>
      <c r="F197" s="1">
        <v>190</v>
      </c>
      <c r="G197" s="1">
        <v>410</v>
      </c>
      <c r="H197" s="1">
        <v>600</v>
      </c>
      <c r="I197" s="1">
        <v>1100000</v>
      </c>
      <c r="J197" s="1">
        <v>400000</v>
      </c>
      <c r="K197" s="1">
        <v>0.4</v>
      </c>
      <c r="L197" s="1" t="s">
        <v>161</v>
      </c>
    </row>
    <row r="198" spans="1:12" x14ac:dyDescent="0.3">
      <c r="A198" t="s">
        <v>196</v>
      </c>
      <c r="B198" t="s">
        <v>44</v>
      </c>
      <c r="C198" t="s">
        <v>153</v>
      </c>
      <c r="D198">
        <v>13000</v>
      </c>
      <c r="E198">
        <v>750</v>
      </c>
      <c r="F198">
        <v>210</v>
      </c>
      <c r="G198">
        <v>615</v>
      </c>
      <c r="H198">
        <v>1100</v>
      </c>
      <c r="I198">
        <v>1700000</v>
      </c>
      <c r="J198">
        <v>620000</v>
      </c>
      <c r="K198">
        <v>0.57999999999999996</v>
      </c>
      <c r="L198" t="s">
        <v>160</v>
      </c>
    </row>
    <row r="199" spans="1:12" x14ac:dyDescent="0.3">
      <c r="A199" t="s">
        <v>196</v>
      </c>
      <c r="B199" t="s">
        <v>35</v>
      </c>
      <c r="C199" t="s">
        <v>153</v>
      </c>
      <c r="D199">
        <v>925</v>
      </c>
      <c r="E199">
        <v>550</v>
      </c>
      <c r="F199">
        <v>210</v>
      </c>
      <c r="G199">
        <v>615</v>
      </c>
      <c r="H199">
        <v>900</v>
      </c>
      <c r="I199">
        <v>1600000</v>
      </c>
      <c r="J199">
        <v>580000</v>
      </c>
      <c r="K199">
        <v>0.57999999999999996</v>
      </c>
      <c r="L199" t="s">
        <v>160</v>
      </c>
    </row>
    <row r="200" spans="1:12" x14ac:dyDescent="0.3">
      <c r="A200" t="s">
        <v>196</v>
      </c>
      <c r="B200" t="s">
        <v>36</v>
      </c>
      <c r="C200" t="s">
        <v>153</v>
      </c>
      <c r="D200">
        <v>900</v>
      </c>
      <c r="E200">
        <v>525</v>
      </c>
      <c r="F200">
        <v>210</v>
      </c>
      <c r="G200">
        <v>615</v>
      </c>
      <c r="H200">
        <v>700</v>
      </c>
      <c r="I200">
        <v>1500000</v>
      </c>
      <c r="J200">
        <v>550000</v>
      </c>
      <c r="K200">
        <v>0.57999999999999996</v>
      </c>
      <c r="L200" t="s">
        <v>160</v>
      </c>
    </row>
    <row r="201" spans="1:12" x14ac:dyDescent="0.3">
      <c r="A201" t="s">
        <v>196</v>
      </c>
      <c r="B201" t="s">
        <v>37</v>
      </c>
      <c r="C201" t="s">
        <v>153</v>
      </c>
      <c r="D201">
        <v>525</v>
      </c>
      <c r="E201">
        <v>300</v>
      </c>
      <c r="F201">
        <v>210</v>
      </c>
      <c r="G201">
        <v>615</v>
      </c>
      <c r="H201">
        <v>400</v>
      </c>
      <c r="I201">
        <v>1300000</v>
      </c>
      <c r="J201">
        <v>470000</v>
      </c>
      <c r="K201">
        <v>0.57999999999999996</v>
      </c>
      <c r="L201" t="s">
        <v>160</v>
      </c>
    </row>
    <row r="202" spans="1:12" x14ac:dyDescent="0.3">
      <c r="A202" t="s">
        <v>196</v>
      </c>
      <c r="B202" t="s">
        <v>38</v>
      </c>
      <c r="C202" t="s">
        <v>153</v>
      </c>
      <c r="D202">
        <v>700</v>
      </c>
      <c r="E202">
        <v>425</v>
      </c>
      <c r="F202">
        <v>210</v>
      </c>
      <c r="G202">
        <v>615</v>
      </c>
      <c r="H202">
        <v>450</v>
      </c>
      <c r="I202">
        <v>1300000</v>
      </c>
      <c r="J202">
        <v>470000</v>
      </c>
      <c r="K202">
        <v>0.57999999999999996</v>
      </c>
      <c r="L202" t="s">
        <v>160</v>
      </c>
    </row>
    <row r="203" spans="1:12" x14ac:dyDescent="0.3">
      <c r="A203" t="s">
        <v>196</v>
      </c>
      <c r="B203" t="s">
        <v>19</v>
      </c>
      <c r="C203" t="s">
        <v>154</v>
      </c>
      <c r="D203">
        <v>1050</v>
      </c>
      <c r="E203">
        <v>600</v>
      </c>
      <c r="F203">
        <v>210</v>
      </c>
      <c r="G203">
        <v>615</v>
      </c>
      <c r="H203">
        <v>925</v>
      </c>
      <c r="I203">
        <v>1400000</v>
      </c>
      <c r="J203">
        <v>510000</v>
      </c>
      <c r="K203">
        <v>0.57999999999999996</v>
      </c>
      <c r="L203" t="s">
        <v>160</v>
      </c>
    </row>
    <row r="204" spans="1:12" x14ac:dyDescent="0.3">
      <c r="A204" t="s">
        <v>196</v>
      </c>
      <c r="B204" t="s">
        <v>152</v>
      </c>
      <c r="C204" t="s">
        <v>154</v>
      </c>
      <c r="D204">
        <v>575</v>
      </c>
      <c r="E204">
        <v>325</v>
      </c>
      <c r="F204">
        <v>210</v>
      </c>
      <c r="G204">
        <v>615</v>
      </c>
      <c r="H204">
        <v>725</v>
      </c>
      <c r="I204">
        <v>1300000</v>
      </c>
      <c r="J204">
        <v>470000</v>
      </c>
      <c r="K204">
        <v>0.57999999999999996</v>
      </c>
      <c r="L204" t="s">
        <v>160</v>
      </c>
    </row>
    <row r="205" spans="1:12" x14ac:dyDescent="0.3">
      <c r="A205" s="1" t="s">
        <v>196</v>
      </c>
      <c r="B205" s="1" t="s">
        <v>40</v>
      </c>
      <c r="C205" s="1" t="s">
        <v>154</v>
      </c>
      <c r="D205" s="1">
        <v>275</v>
      </c>
      <c r="E205" s="1">
        <v>150</v>
      </c>
      <c r="F205" s="1">
        <v>210</v>
      </c>
      <c r="G205" s="1">
        <v>615</v>
      </c>
      <c r="H205" s="1">
        <v>475</v>
      </c>
      <c r="I205" s="1">
        <v>1200000</v>
      </c>
      <c r="J205" s="1">
        <v>440000</v>
      </c>
      <c r="K205" s="1">
        <v>0.57999999999999996</v>
      </c>
      <c r="L205" s="1" t="s">
        <v>160</v>
      </c>
    </row>
    <row r="206" spans="1:12" x14ac:dyDescent="0.3">
      <c r="A206" t="s">
        <v>197</v>
      </c>
      <c r="B206" t="s">
        <v>44</v>
      </c>
      <c r="C206" t="s">
        <v>153</v>
      </c>
      <c r="D206">
        <v>1150</v>
      </c>
      <c r="E206">
        <v>675</v>
      </c>
      <c r="F206">
        <v>170</v>
      </c>
      <c r="G206">
        <v>820</v>
      </c>
      <c r="H206">
        <v>1000</v>
      </c>
      <c r="I206">
        <v>1400000</v>
      </c>
      <c r="J206">
        <v>510000</v>
      </c>
      <c r="K206">
        <v>0.67</v>
      </c>
      <c r="L206" t="s">
        <v>160</v>
      </c>
    </row>
    <row r="207" spans="1:12" x14ac:dyDescent="0.3">
      <c r="A207" t="s">
        <v>197</v>
      </c>
      <c r="B207" t="s">
        <v>35</v>
      </c>
      <c r="C207" t="s">
        <v>153</v>
      </c>
      <c r="D207">
        <v>825</v>
      </c>
      <c r="E207">
        <v>500</v>
      </c>
      <c r="F207">
        <v>170</v>
      </c>
      <c r="G207">
        <v>820</v>
      </c>
      <c r="H207">
        <v>825</v>
      </c>
      <c r="I207">
        <v>1300000</v>
      </c>
      <c r="J207">
        <v>470000</v>
      </c>
      <c r="K207">
        <v>0.67</v>
      </c>
      <c r="L207" t="s">
        <v>160</v>
      </c>
    </row>
    <row r="208" spans="1:12" x14ac:dyDescent="0.3">
      <c r="A208" t="s">
        <v>197</v>
      </c>
      <c r="B208" t="s">
        <v>36</v>
      </c>
      <c r="C208" t="s">
        <v>153</v>
      </c>
      <c r="D208">
        <v>800</v>
      </c>
      <c r="E208">
        <v>475</v>
      </c>
      <c r="F208">
        <v>170</v>
      </c>
      <c r="G208">
        <v>820</v>
      </c>
      <c r="H208">
        <v>625</v>
      </c>
      <c r="I208">
        <v>1200000</v>
      </c>
      <c r="J208">
        <v>440000</v>
      </c>
      <c r="K208">
        <v>0.67</v>
      </c>
      <c r="L208" t="s">
        <v>160</v>
      </c>
    </row>
    <row r="209" spans="1:12" x14ac:dyDescent="0.3">
      <c r="A209" t="s">
        <v>197</v>
      </c>
      <c r="B209" t="s">
        <v>37</v>
      </c>
      <c r="C209" t="s">
        <v>153</v>
      </c>
      <c r="D209">
        <v>475</v>
      </c>
      <c r="E209">
        <v>275</v>
      </c>
      <c r="F209">
        <v>170</v>
      </c>
      <c r="G209">
        <v>820</v>
      </c>
      <c r="H209">
        <v>375</v>
      </c>
      <c r="I209">
        <v>1100000</v>
      </c>
      <c r="J209">
        <v>400000</v>
      </c>
      <c r="K209">
        <v>0.67</v>
      </c>
      <c r="L209" t="s">
        <v>160</v>
      </c>
    </row>
    <row r="210" spans="1:12" x14ac:dyDescent="0.3">
      <c r="A210" t="s">
        <v>197</v>
      </c>
      <c r="B210" t="s">
        <v>38</v>
      </c>
      <c r="C210" t="s">
        <v>153</v>
      </c>
      <c r="D210">
        <v>625</v>
      </c>
      <c r="E210">
        <v>375</v>
      </c>
      <c r="F210">
        <v>170</v>
      </c>
      <c r="G210">
        <v>820</v>
      </c>
      <c r="H210">
        <v>400</v>
      </c>
      <c r="I210">
        <v>1100000</v>
      </c>
      <c r="J210">
        <v>400000</v>
      </c>
      <c r="K210">
        <v>0.67</v>
      </c>
      <c r="L210" t="s">
        <v>160</v>
      </c>
    </row>
    <row r="211" spans="1:12" x14ac:dyDescent="0.3">
      <c r="A211" t="s">
        <v>197</v>
      </c>
      <c r="B211" t="s">
        <v>19</v>
      </c>
      <c r="C211" t="s">
        <v>154</v>
      </c>
      <c r="D211">
        <v>925</v>
      </c>
      <c r="E211">
        <v>550</v>
      </c>
      <c r="F211">
        <v>170</v>
      </c>
      <c r="G211">
        <v>820</v>
      </c>
      <c r="H211">
        <v>850</v>
      </c>
      <c r="I211">
        <v>1200000</v>
      </c>
      <c r="J211">
        <v>440000</v>
      </c>
      <c r="K211">
        <v>0.67</v>
      </c>
      <c r="L211" t="s">
        <v>160</v>
      </c>
    </row>
    <row r="212" spans="1:12" x14ac:dyDescent="0.3">
      <c r="A212" t="s">
        <v>197</v>
      </c>
      <c r="B212" t="s">
        <v>152</v>
      </c>
      <c r="C212" t="s">
        <v>154</v>
      </c>
      <c r="D212">
        <v>525</v>
      </c>
      <c r="E212">
        <v>300</v>
      </c>
      <c r="F212">
        <v>170</v>
      </c>
      <c r="G212">
        <v>820</v>
      </c>
      <c r="H212">
        <v>650</v>
      </c>
      <c r="I212">
        <v>1100000</v>
      </c>
      <c r="J212">
        <v>400000</v>
      </c>
      <c r="K212">
        <v>0.67</v>
      </c>
      <c r="L212" t="s">
        <v>160</v>
      </c>
    </row>
    <row r="213" spans="1:12" x14ac:dyDescent="0.3">
      <c r="A213" s="1" t="s">
        <v>197</v>
      </c>
      <c r="B213" s="1" t="s">
        <v>40</v>
      </c>
      <c r="C213" s="1" t="s">
        <v>154</v>
      </c>
      <c r="D213" s="1">
        <v>250</v>
      </c>
      <c r="E213" s="1">
        <v>150</v>
      </c>
      <c r="F213" s="1">
        <v>170</v>
      </c>
      <c r="G213" s="1">
        <v>820</v>
      </c>
      <c r="H213" s="1">
        <v>425</v>
      </c>
      <c r="I213" s="1">
        <v>1000000</v>
      </c>
      <c r="J213" s="1">
        <v>370000</v>
      </c>
      <c r="K213" s="1">
        <v>0.67</v>
      </c>
      <c r="L213" s="1" t="s">
        <v>160</v>
      </c>
    </row>
    <row r="214" spans="1:12" x14ac:dyDescent="0.3">
      <c r="A214" t="s">
        <v>198</v>
      </c>
      <c r="B214" t="s">
        <v>44</v>
      </c>
      <c r="C214" t="s">
        <v>153</v>
      </c>
      <c r="D214">
        <v>1100</v>
      </c>
      <c r="E214">
        <v>625</v>
      </c>
      <c r="F214">
        <v>160</v>
      </c>
      <c r="G214">
        <v>425</v>
      </c>
      <c r="H214">
        <v>1100</v>
      </c>
      <c r="I214">
        <v>1100000</v>
      </c>
      <c r="J214">
        <v>400000</v>
      </c>
      <c r="K214">
        <v>0.37</v>
      </c>
      <c r="L214" t="s">
        <v>163</v>
      </c>
    </row>
    <row r="215" spans="1:12" x14ac:dyDescent="0.3">
      <c r="A215" t="s">
        <v>198</v>
      </c>
      <c r="B215" t="s">
        <v>35</v>
      </c>
      <c r="C215" t="s">
        <v>153</v>
      </c>
      <c r="D215">
        <v>775</v>
      </c>
      <c r="E215">
        <v>450</v>
      </c>
      <c r="F215">
        <v>160</v>
      </c>
      <c r="G215">
        <v>425</v>
      </c>
      <c r="H215">
        <v>900</v>
      </c>
      <c r="I215">
        <v>1100000</v>
      </c>
      <c r="J215">
        <v>400000</v>
      </c>
      <c r="K215">
        <v>0.37</v>
      </c>
      <c r="L215" t="s">
        <v>163</v>
      </c>
    </row>
    <row r="216" spans="1:12" x14ac:dyDescent="0.3">
      <c r="A216" t="s">
        <v>198</v>
      </c>
      <c r="B216" t="s">
        <v>36</v>
      </c>
      <c r="C216" t="s">
        <v>153</v>
      </c>
      <c r="D216">
        <v>725</v>
      </c>
      <c r="E216">
        <v>425</v>
      </c>
      <c r="F216">
        <v>160</v>
      </c>
      <c r="G216">
        <v>425</v>
      </c>
      <c r="H216">
        <v>700</v>
      </c>
      <c r="I216">
        <v>1000000</v>
      </c>
      <c r="J216">
        <v>370000</v>
      </c>
      <c r="K216">
        <v>0.37</v>
      </c>
      <c r="L216" t="s">
        <v>163</v>
      </c>
    </row>
    <row r="217" spans="1:12" x14ac:dyDescent="0.3">
      <c r="A217" t="s">
        <v>198</v>
      </c>
      <c r="B217" t="s">
        <v>37</v>
      </c>
      <c r="C217" t="s">
        <v>153</v>
      </c>
      <c r="D217">
        <v>425</v>
      </c>
      <c r="E217">
        <v>250</v>
      </c>
      <c r="F217">
        <v>160</v>
      </c>
      <c r="G217">
        <v>425</v>
      </c>
      <c r="H217">
        <v>400</v>
      </c>
      <c r="I217">
        <v>900000</v>
      </c>
      <c r="J217">
        <v>330000</v>
      </c>
      <c r="K217">
        <v>0.37</v>
      </c>
      <c r="L217" t="s">
        <v>163</v>
      </c>
    </row>
    <row r="218" spans="1:12" x14ac:dyDescent="0.3">
      <c r="A218" t="s">
        <v>198</v>
      </c>
      <c r="B218" t="s">
        <v>38</v>
      </c>
      <c r="C218" t="s">
        <v>153</v>
      </c>
      <c r="D218">
        <v>575</v>
      </c>
      <c r="E218">
        <v>325</v>
      </c>
      <c r="F218">
        <v>160</v>
      </c>
      <c r="G218">
        <v>425</v>
      </c>
      <c r="H218">
        <v>450</v>
      </c>
      <c r="I218">
        <v>900000</v>
      </c>
      <c r="J218">
        <v>330000</v>
      </c>
      <c r="K218">
        <v>0.37</v>
      </c>
      <c r="L218" t="s">
        <v>163</v>
      </c>
    </row>
    <row r="219" spans="1:12" x14ac:dyDescent="0.3">
      <c r="A219" t="s">
        <v>198</v>
      </c>
      <c r="B219" t="s">
        <v>19</v>
      </c>
      <c r="C219" t="s">
        <v>154</v>
      </c>
      <c r="D219">
        <v>825</v>
      </c>
      <c r="E219">
        <v>475</v>
      </c>
      <c r="F219">
        <v>160</v>
      </c>
      <c r="G219">
        <v>425</v>
      </c>
      <c r="H219">
        <v>925</v>
      </c>
      <c r="I219">
        <v>900000</v>
      </c>
      <c r="J219">
        <v>330000</v>
      </c>
      <c r="K219">
        <v>0.37</v>
      </c>
      <c r="L219" t="s">
        <v>163</v>
      </c>
    </row>
    <row r="220" spans="1:12" x14ac:dyDescent="0.3">
      <c r="A220" t="s">
        <v>198</v>
      </c>
      <c r="B220" t="s">
        <v>152</v>
      </c>
      <c r="C220" t="s">
        <v>154</v>
      </c>
      <c r="D220">
        <v>450</v>
      </c>
      <c r="E220">
        <v>275</v>
      </c>
      <c r="F220">
        <v>160</v>
      </c>
      <c r="G220">
        <v>425</v>
      </c>
      <c r="H220">
        <v>725</v>
      </c>
      <c r="I220">
        <v>900000</v>
      </c>
      <c r="J220">
        <v>330000</v>
      </c>
      <c r="K220">
        <v>0.37</v>
      </c>
      <c r="L220" t="s">
        <v>163</v>
      </c>
    </row>
    <row r="221" spans="1:12" x14ac:dyDescent="0.3">
      <c r="A221" s="1" t="s">
        <v>198</v>
      </c>
      <c r="B221" s="1" t="s">
        <v>40</v>
      </c>
      <c r="C221" s="1" t="s">
        <v>154</v>
      </c>
      <c r="D221" s="1">
        <v>225</v>
      </c>
      <c r="E221" s="1">
        <v>125</v>
      </c>
      <c r="F221" s="1">
        <v>160</v>
      </c>
      <c r="G221" s="1">
        <v>425</v>
      </c>
      <c r="H221" s="1">
        <v>475</v>
      </c>
      <c r="I221" s="1">
        <v>800000</v>
      </c>
      <c r="J221" s="1">
        <v>290000</v>
      </c>
      <c r="K221" s="1">
        <v>0.37</v>
      </c>
      <c r="L221" s="1" t="s">
        <v>163</v>
      </c>
    </row>
    <row r="222" spans="1:12" x14ac:dyDescent="0.3">
      <c r="A222" t="s">
        <v>199</v>
      </c>
      <c r="B222" t="s">
        <v>44</v>
      </c>
      <c r="C222" t="s">
        <v>153</v>
      </c>
      <c r="D222">
        <v>1250</v>
      </c>
      <c r="E222">
        <v>700</v>
      </c>
      <c r="F222">
        <v>135</v>
      </c>
      <c r="G222">
        <v>425</v>
      </c>
      <c r="H222">
        <v>1400</v>
      </c>
      <c r="I222">
        <v>1500000</v>
      </c>
      <c r="J222">
        <v>550000</v>
      </c>
      <c r="K222">
        <v>0.42</v>
      </c>
      <c r="L222" t="s">
        <v>161</v>
      </c>
    </row>
    <row r="223" spans="1:12" x14ac:dyDescent="0.3">
      <c r="A223" t="s">
        <v>199</v>
      </c>
      <c r="B223" t="s">
        <v>35</v>
      </c>
      <c r="C223" t="s">
        <v>153</v>
      </c>
      <c r="D223">
        <v>875</v>
      </c>
      <c r="E223">
        <v>450</v>
      </c>
      <c r="F223">
        <v>135</v>
      </c>
      <c r="G223">
        <v>425</v>
      </c>
      <c r="H223">
        <v>1150</v>
      </c>
      <c r="I223">
        <v>1400000</v>
      </c>
      <c r="J223">
        <v>510000</v>
      </c>
      <c r="K223">
        <v>0.42</v>
      </c>
      <c r="L223" t="s">
        <v>161</v>
      </c>
    </row>
    <row r="224" spans="1:12" x14ac:dyDescent="0.3">
      <c r="A224" t="s">
        <v>199</v>
      </c>
      <c r="B224" t="s">
        <v>36</v>
      </c>
      <c r="C224" t="s">
        <v>153</v>
      </c>
      <c r="D224">
        <v>875</v>
      </c>
      <c r="E224">
        <v>450</v>
      </c>
      <c r="F224">
        <v>135</v>
      </c>
      <c r="G224">
        <v>425</v>
      </c>
      <c r="H224">
        <v>1150</v>
      </c>
      <c r="I224">
        <v>1400000</v>
      </c>
      <c r="J224">
        <v>510000</v>
      </c>
      <c r="K224">
        <v>0.42</v>
      </c>
      <c r="L224" t="s">
        <v>161</v>
      </c>
    </row>
    <row r="225" spans="1:12" x14ac:dyDescent="0.3">
      <c r="A225" t="s">
        <v>199</v>
      </c>
      <c r="B225" t="s">
        <v>37</v>
      </c>
      <c r="C225" t="s">
        <v>153</v>
      </c>
      <c r="D225">
        <v>500</v>
      </c>
      <c r="E225">
        <v>250</v>
      </c>
      <c r="F225">
        <v>135</v>
      </c>
      <c r="G225">
        <v>425</v>
      </c>
      <c r="H225">
        <v>650</v>
      </c>
      <c r="I225">
        <v>1200000</v>
      </c>
      <c r="J225">
        <v>440000</v>
      </c>
      <c r="K225">
        <v>0.42</v>
      </c>
      <c r="L225" t="s">
        <v>161</v>
      </c>
    </row>
    <row r="226" spans="1:12" x14ac:dyDescent="0.3">
      <c r="A226" t="s">
        <v>199</v>
      </c>
      <c r="B226" t="s">
        <v>38</v>
      </c>
      <c r="C226" t="s">
        <v>153</v>
      </c>
      <c r="D226">
        <v>675</v>
      </c>
      <c r="E226">
        <v>350</v>
      </c>
      <c r="F226">
        <v>135</v>
      </c>
      <c r="G226">
        <v>425</v>
      </c>
      <c r="H226">
        <v>725</v>
      </c>
      <c r="I226">
        <v>1200000</v>
      </c>
      <c r="J226">
        <v>440000</v>
      </c>
      <c r="K226">
        <v>0.42</v>
      </c>
      <c r="L226" t="s">
        <v>161</v>
      </c>
    </row>
    <row r="227" spans="1:12" x14ac:dyDescent="0.3">
      <c r="A227" t="s">
        <v>199</v>
      </c>
      <c r="B227" t="s">
        <v>19</v>
      </c>
      <c r="C227" t="s">
        <v>154</v>
      </c>
      <c r="D227">
        <v>1000</v>
      </c>
      <c r="E227">
        <v>500</v>
      </c>
      <c r="F227">
        <v>135</v>
      </c>
      <c r="G227">
        <v>425</v>
      </c>
      <c r="H227">
        <v>1400</v>
      </c>
      <c r="I227">
        <v>1300000</v>
      </c>
      <c r="J227">
        <v>470000</v>
      </c>
      <c r="K227">
        <v>0.42</v>
      </c>
      <c r="L227" t="s">
        <v>161</v>
      </c>
    </row>
    <row r="228" spans="1:12" x14ac:dyDescent="0.3">
      <c r="A228" t="s">
        <v>199</v>
      </c>
      <c r="B228" t="s">
        <v>152</v>
      </c>
      <c r="C228" t="s">
        <v>154</v>
      </c>
      <c r="D228">
        <v>550</v>
      </c>
      <c r="E228">
        <v>275</v>
      </c>
      <c r="F228">
        <v>135</v>
      </c>
      <c r="G228">
        <v>425</v>
      </c>
      <c r="H228">
        <v>1150</v>
      </c>
      <c r="I228">
        <v>1200000</v>
      </c>
      <c r="J228">
        <v>440000</v>
      </c>
      <c r="K228">
        <v>0.42</v>
      </c>
      <c r="L228" t="s">
        <v>161</v>
      </c>
    </row>
    <row r="229" spans="1:12" x14ac:dyDescent="0.3">
      <c r="A229" s="1" t="s">
        <v>199</v>
      </c>
      <c r="B229" s="1" t="s">
        <v>40</v>
      </c>
      <c r="C229" s="1" t="s">
        <v>154</v>
      </c>
      <c r="D229" s="1">
        <v>275</v>
      </c>
      <c r="E229" s="1">
        <v>125</v>
      </c>
      <c r="F229" s="1">
        <v>135</v>
      </c>
      <c r="G229" s="1">
        <v>425</v>
      </c>
      <c r="H229" s="1">
        <v>750</v>
      </c>
      <c r="I229" s="1">
        <v>1100000</v>
      </c>
      <c r="J229" s="1">
        <v>400000</v>
      </c>
      <c r="K229" s="1">
        <v>0.42</v>
      </c>
      <c r="L229" s="1" t="s">
        <v>161</v>
      </c>
    </row>
    <row r="230" spans="1:12" x14ac:dyDescent="0.3">
      <c r="A230" t="s">
        <v>200</v>
      </c>
      <c r="B230" t="s">
        <v>44</v>
      </c>
      <c r="C230" t="s">
        <v>153</v>
      </c>
      <c r="D230">
        <v>1300</v>
      </c>
      <c r="E230">
        <v>575</v>
      </c>
      <c r="F230">
        <v>135</v>
      </c>
      <c r="G230">
        <v>335</v>
      </c>
      <c r="H230">
        <v>1200</v>
      </c>
      <c r="I230">
        <v>1300000</v>
      </c>
      <c r="J230">
        <v>470000</v>
      </c>
      <c r="K230">
        <v>0.36</v>
      </c>
      <c r="L230" t="s">
        <v>164</v>
      </c>
    </row>
    <row r="231" spans="1:12" x14ac:dyDescent="0.3">
      <c r="A231" t="s">
        <v>200</v>
      </c>
      <c r="B231" t="s">
        <v>35</v>
      </c>
      <c r="C231" t="s">
        <v>153</v>
      </c>
      <c r="D231">
        <v>875</v>
      </c>
      <c r="E231">
        <v>400</v>
      </c>
      <c r="F231">
        <v>135</v>
      </c>
      <c r="G231">
        <v>335</v>
      </c>
      <c r="H231">
        <v>1050</v>
      </c>
      <c r="I231">
        <v>1200000</v>
      </c>
      <c r="J231">
        <v>440000</v>
      </c>
      <c r="K231">
        <v>0.36</v>
      </c>
      <c r="L231" t="s">
        <v>164</v>
      </c>
    </row>
    <row r="232" spans="1:12" x14ac:dyDescent="0.3">
      <c r="A232" t="s">
        <v>200</v>
      </c>
      <c r="B232" t="s">
        <v>36</v>
      </c>
      <c r="C232" t="s">
        <v>153</v>
      </c>
      <c r="D232">
        <v>775</v>
      </c>
      <c r="E232">
        <v>350</v>
      </c>
      <c r="F232">
        <v>135</v>
      </c>
      <c r="G232">
        <v>335</v>
      </c>
      <c r="H232">
        <v>1000</v>
      </c>
      <c r="I232">
        <v>1100000</v>
      </c>
      <c r="J232">
        <v>400000</v>
      </c>
      <c r="K232">
        <v>0.36</v>
      </c>
      <c r="L232" t="s">
        <v>164</v>
      </c>
    </row>
    <row r="233" spans="1:12" x14ac:dyDescent="0.3">
      <c r="A233" t="s">
        <v>200</v>
      </c>
      <c r="B233" t="s">
        <v>37</v>
      </c>
      <c r="C233" t="s">
        <v>153</v>
      </c>
      <c r="D233">
        <v>450</v>
      </c>
      <c r="E233">
        <v>200</v>
      </c>
      <c r="F233">
        <v>135</v>
      </c>
      <c r="G233">
        <v>335</v>
      </c>
      <c r="H233">
        <v>575</v>
      </c>
      <c r="I233">
        <v>1000000</v>
      </c>
      <c r="J233">
        <v>370000</v>
      </c>
      <c r="K233">
        <v>0.36</v>
      </c>
      <c r="L233" t="s">
        <v>164</v>
      </c>
    </row>
    <row r="234" spans="1:12" x14ac:dyDescent="0.3">
      <c r="A234" t="s">
        <v>200</v>
      </c>
      <c r="B234" t="s">
        <v>38</v>
      </c>
      <c r="C234" t="s">
        <v>153</v>
      </c>
      <c r="D234">
        <v>600</v>
      </c>
      <c r="E234">
        <v>275</v>
      </c>
      <c r="F234">
        <v>135</v>
      </c>
      <c r="G234">
        <v>335</v>
      </c>
      <c r="H234">
        <v>625</v>
      </c>
      <c r="I234">
        <v>1000000</v>
      </c>
      <c r="J234">
        <v>370000</v>
      </c>
      <c r="K234">
        <v>0.36</v>
      </c>
      <c r="L234" t="s">
        <v>164</v>
      </c>
    </row>
    <row r="235" spans="1:12" x14ac:dyDescent="0.3">
      <c r="A235" t="s">
        <v>200</v>
      </c>
      <c r="B235" t="s">
        <v>19</v>
      </c>
      <c r="C235" t="s">
        <v>154</v>
      </c>
      <c r="D235">
        <v>875</v>
      </c>
      <c r="E235">
        <v>400</v>
      </c>
      <c r="F235">
        <v>135</v>
      </c>
      <c r="G235">
        <v>335</v>
      </c>
      <c r="H235">
        <v>1200</v>
      </c>
      <c r="I235">
        <v>1000000</v>
      </c>
      <c r="J235">
        <v>370000</v>
      </c>
      <c r="K235">
        <v>0.36</v>
      </c>
      <c r="L235" t="s">
        <v>164</v>
      </c>
    </row>
    <row r="236" spans="1:12" x14ac:dyDescent="0.3">
      <c r="A236" t="s">
        <v>200</v>
      </c>
      <c r="B236" t="s">
        <v>152</v>
      </c>
      <c r="C236" t="s">
        <v>154</v>
      </c>
      <c r="D236">
        <v>500</v>
      </c>
      <c r="E236">
        <v>225</v>
      </c>
      <c r="F236">
        <v>135</v>
      </c>
      <c r="G236">
        <v>335</v>
      </c>
      <c r="H236">
        <v>1000</v>
      </c>
      <c r="I236">
        <v>900000</v>
      </c>
      <c r="J236">
        <v>330000</v>
      </c>
      <c r="K236">
        <v>0.36</v>
      </c>
      <c r="L236" t="s">
        <v>164</v>
      </c>
    </row>
    <row r="237" spans="1:12" x14ac:dyDescent="0.3">
      <c r="A237" s="1" t="s">
        <v>200</v>
      </c>
      <c r="B237" s="1" t="s">
        <v>40</v>
      </c>
      <c r="C237" s="1" t="s">
        <v>154</v>
      </c>
      <c r="D237" s="1">
        <v>225</v>
      </c>
      <c r="E237" s="1">
        <v>100</v>
      </c>
      <c r="F237" s="1">
        <v>135</v>
      </c>
      <c r="G237" s="1">
        <v>335</v>
      </c>
      <c r="H237" s="1">
        <v>675</v>
      </c>
      <c r="I237" s="1">
        <v>900000</v>
      </c>
      <c r="J237" s="1">
        <v>330000</v>
      </c>
      <c r="K237" s="1">
        <v>0.36</v>
      </c>
      <c r="L237" s="1" t="s">
        <v>164</v>
      </c>
    </row>
    <row r="238" spans="1:12" x14ac:dyDescent="0.3">
      <c r="A238" t="s">
        <v>201</v>
      </c>
      <c r="B238" t="s">
        <v>44</v>
      </c>
      <c r="C238" t="s">
        <v>153</v>
      </c>
      <c r="D238">
        <v>1000</v>
      </c>
      <c r="E238">
        <v>600</v>
      </c>
      <c r="F238">
        <v>155</v>
      </c>
      <c r="G238">
        <v>425</v>
      </c>
      <c r="H238">
        <v>1000</v>
      </c>
      <c r="I238">
        <v>1100000</v>
      </c>
      <c r="J238">
        <v>400000</v>
      </c>
      <c r="K238">
        <v>0.36</v>
      </c>
      <c r="L238" t="s">
        <v>157</v>
      </c>
    </row>
    <row r="239" spans="1:12" x14ac:dyDescent="0.3">
      <c r="A239" t="s">
        <v>201</v>
      </c>
      <c r="B239" t="s">
        <v>35</v>
      </c>
      <c r="C239" t="s">
        <v>153</v>
      </c>
      <c r="D239">
        <v>725</v>
      </c>
      <c r="E239">
        <v>425</v>
      </c>
      <c r="F239">
        <v>155</v>
      </c>
      <c r="G239">
        <v>425</v>
      </c>
      <c r="H239">
        <v>825</v>
      </c>
      <c r="I239">
        <v>1000000</v>
      </c>
      <c r="J239">
        <v>370000</v>
      </c>
      <c r="K239">
        <v>0.36</v>
      </c>
      <c r="L239" t="s">
        <v>157</v>
      </c>
    </row>
    <row r="240" spans="1:12" x14ac:dyDescent="0.3">
      <c r="A240" t="s">
        <v>201</v>
      </c>
      <c r="B240" t="s">
        <v>36</v>
      </c>
      <c r="C240" t="s">
        <v>153</v>
      </c>
      <c r="D240">
        <v>700</v>
      </c>
      <c r="E240">
        <v>425</v>
      </c>
      <c r="F240">
        <v>155</v>
      </c>
      <c r="G240">
        <v>425</v>
      </c>
      <c r="H240">
        <v>650</v>
      </c>
      <c r="I240">
        <v>1000000</v>
      </c>
      <c r="J240">
        <v>370000</v>
      </c>
      <c r="K240">
        <v>0.36</v>
      </c>
      <c r="L240" t="s">
        <v>157</v>
      </c>
    </row>
    <row r="241" spans="1:12" x14ac:dyDescent="0.3">
      <c r="A241" t="s">
        <v>201</v>
      </c>
      <c r="B241" t="s">
        <v>37</v>
      </c>
      <c r="C241" t="s">
        <v>153</v>
      </c>
      <c r="D241">
        <v>400</v>
      </c>
      <c r="E241">
        <v>250</v>
      </c>
      <c r="F241">
        <v>155</v>
      </c>
      <c r="G241">
        <v>425</v>
      </c>
      <c r="H241">
        <v>375</v>
      </c>
      <c r="I241">
        <v>900000</v>
      </c>
      <c r="J241">
        <v>330000</v>
      </c>
      <c r="K241">
        <v>0.36</v>
      </c>
      <c r="L241" t="s">
        <v>157</v>
      </c>
    </row>
    <row r="242" spans="1:12" x14ac:dyDescent="0.3">
      <c r="A242" t="s">
        <v>201</v>
      </c>
      <c r="B242" t="s">
        <v>38</v>
      </c>
      <c r="C242" t="s">
        <v>153</v>
      </c>
      <c r="D242">
        <v>550</v>
      </c>
      <c r="E242">
        <v>325</v>
      </c>
      <c r="F242">
        <v>155</v>
      </c>
      <c r="G242">
        <v>425</v>
      </c>
      <c r="H242">
        <v>400</v>
      </c>
      <c r="I242">
        <v>900000</v>
      </c>
      <c r="J242">
        <v>330000</v>
      </c>
      <c r="K242">
        <v>0.36</v>
      </c>
      <c r="L242" t="s">
        <v>157</v>
      </c>
    </row>
    <row r="243" spans="1:12" x14ac:dyDescent="0.3">
      <c r="A243" t="s">
        <v>201</v>
      </c>
      <c r="B243" t="s">
        <v>19</v>
      </c>
      <c r="C243" t="s">
        <v>154</v>
      </c>
      <c r="D243">
        <v>800</v>
      </c>
      <c r="E243">
        <v>475</v>
      </c>
      <c r="F243">
        <v>155</v>
      </c>
      <c r="G243">
        <v>425</v>
      </c>
      <c r="H243">
        <v>850</v>
      </c>
      <c r="I243">
        <v>900000</v>
      </c>
      <c r="J243">
        <v>330000</v>
      </c>
      <c r="K243">
        <v>0.36</v>
      </c>
      <c r="L243" t="s">
        <v>157</v>
      </c>
    </row>
    <row r="244" spans="1:12" x14ac:dyDescent="0.3">
      <c r="A244" t="s">
        <v>201</v>
      </c>
      <c r="B244" t="s">
        <v>152</v>
      </c>
      <c r="C244" t="s">
        <v>154</v>
      </c>
      <c r="D244">
        <v>450</v>
      </c>
      <c r="E244">
        <v>275</v>
      </c>
      <c r="F244">
        <v>155</v>
      </c>
      <c r="G244">
        <v>425</v>
      </c>
      <c r="H244">
        <v>650</v>
      </c>
      <c r="I244">
        <v>800000</v>
      </c>
      <c r="J244">
        <v>290000</v>
      </c>
      <c r="K244">
        <v>0.36</v>
      </c>
      <c r="L244" t="s">
        <v>157</v>
      </c>
    </row>
    <row r="245" spans="1:12" x14ac:dyDescent="0.3">
      <c r="A245" s="1" t="s">
        <v>201</v>
      </c>
      <c r="B245" s="1" t="s">
        <v>40</v>
      </c>
      <c r="C245" s="1" t="s">
        <v>154</v>
      </c>
      <c r="D245" s="1">
        <v>225</v>
      </c>
      <c r="E245" s="1">
        <v>125</v>
      </c>
      <c r="F245" s="1">
        <v>155</v>
      </c>
      <c r="G245" s="1">
        <v>425</v>
      </c>
      <c r="H245" s="1">
        <v>425</v>
      </c>
      <c r="I245" s="1">
        <v>800000</v>
      </c>
      <c r="J245" s="1">
        <v>290000</v>
      </c>
      <c r="K245" s="1">
        <v>0.36</v>
      </c>
      <c r="L245" s="1" t="s">
        <v>157</v>
      </c>
    </row>
    <row r="246" spans="1:12" x14ac:dyDescent="0.3">
      <c r="A246" t="s">
        <v>202</v>
      </c>
      <c r="B246" t="s">
        <v>44</v>
      </c>
      <c r="C246" t="s">
        <v>153</v>
      </c>
      <c r="D246">
        <v>925</v>
      </c>
      <c r="E246">
        <v>525</v>
      </c>
      <c r="F246">
        <v>125</v>
      </c>
      <c r="G246">
        <v>770</v>
      </c>
      <c r="H246">
        <v>225</v>
      </c>
      <c r="I246">
        <v>600000</v>
      </c>
      <c r="J246">
        <v>220000</v>
      </c>
      <c r="K246">
        <v>0.42</v>
      </c>
      <c r="L246" t="s">
        <v>155</v>
      </c>
    </row>
    <row r="247" spans="1:12" x14ac:dyDescent="0.3">
      <c r="A247" t="s">
        <v>202</v>
      </c>
      <c r="B247" t="s">
        <v>35</v>
      </c>
      <c r="C247" t="s">
        <v>153</v>
      </c>
      <c r="D247">
        <v>800</v>
      </c>
      <c r="E247">
        <v>425</v>
      </c>
      <c r="F247">
        <v>125</v>
      </c>
      <c r="G247">
        <v>770</v>
      </c>
      <c r="H247">
        <v>200</v>
      </c>
      <c r="I247">
        <v>600000</v>
      </c>
      <c r="J247">
        <v>220000</v>
      </c>
      <c r="K247">
        <v>0.42</v>
      </c>
      <c r="L247" t="s">
        <v>155</v>
      </c>
    </row>
    <row r="248" spans="1:12" x14ac:dyDescent="0.3">
      <c r="A248" t="s">
        <v>202</v>
      </c>
      <c r="B248" t="s">
        <v>36</v>
      </c>
      <c r="C248" t="s">
        <v>153</v>
      </c>
      <c r="D248">
        <v>650</v>
      </c>
      <c r="E248">
        <v>350</v>
      </c>
      <c r="F248">
        <v>125</v>
      </c>
      <c r="G248">
        <v>770</v>
      </c>
      <c r="H248">
        <v>175</v>
      </c>
      <c r="I248">
        <v>500000</v>
      </c>
      <c r="J248">
        <v>180000</v>
      </c>
      <c r="K248">
        <v>0.42</v>
      </c>
      <c r="L248" t="s">
        <v>155</v>
      </c>
    </row>
    <row r="249" spans="1:12" x14ac:dyDescent="0.3">
      <c r="A249" t="s">
        <v>202</v>
      </c>
      <c r="B249" t="s">
        <v>37</v>
      </c>
      <c r="C249" t="s">
        <v>153</v>
      </c>
      <c r="D249">
        <v>375</v>
      </c>
      <c r="E249">
        <v>200</v>
      </c>
      <c r="F249">
        <v>125</v>
      </c>
      <c r="G249">
        <v>770</v>
      </c>
      <c r="H249">
        <v>100</v>
      </c>
      <c r="I249">
        <v>500000</v>
      </c>
      <c r="J249">
        <v>180000</v>
      </c>
      <c r="K249">
        <v>0.42</v>
      </c>
      <c r="L249" t="s">
        <v>155</v>
      </c>
    </row>
    <row r="250" spans="1:12" x14ac:dyDescent="0.3">
      <c r="A250" t="s">
        <v>202</v>
      </c>
      <c r="B250" t="s">
        <v>38</v>
      </c>
      <c r="C250" t="s">
        <v>153</v>
      </c>
      <c r="D250">
        <v>500</v>
      </c>
      <c r="E250">
        <v>275</v>
      </c>
      <c r="F250">
        <v>125</v>
      </c>
      <c r="G250">
        <v>770</v>
      </c>
      <c r="H250">
        <v>100</v>
      </c>
      <c r="I250">
        <v>500000</v>
      </c>
      <c r="J250">
        <v>180000</v>
      </c>
      <c r="K250">
        <v>0.42</v>
      </c>
      <c r="L250" t="s">
        <v>155</v>
      </c>
    </row>
    <row r="251" spans="1:12" x14ac:dyDescent="0.3">
      <c r="A251" t="s">
        <v>202</v>
      </c>
      <c r="B251" t="s">
        <v>19</v>
      </c>
      <c r="C251" t="s">
        <v>154</v>
      </c>
      <c r="D251">
        <v>750</v>
      </c>
      <c r="E251">
        <v>400</v>
      </c>
      <c r="F251">
        <v>125</v>
      </c>
      <c r="G251">
        <v>770</v>
      </c>
      <c r="H251">
        <v>200</v>
      </c>
      <c r="I251">
        <v>500000</v>
      </c>
      <c r="J251">
        <v>180000</v>
      </c>
      <c r="K251">
        <v>0.42</v>
      </c>
      <c r="L251" t="s">
        <v>155</v>
      </c>
    </row>
    <row r="252" spans="1:12" x14ac:dyDescent="0.3">
      <c r="A252" t="s">
        <v>202</v>
      </c>
      <c r="B252" t="s">
        <v>152</v>
      </c>
      <c r="C252" t="s">
        <v>154</v>
      </c>
      <c r="D252">
        <v>425</v>
      </c>
      <c r="E252">
        <v>225</v>
      </c>
      <c r="F252">
        <v>125</v>
      </c>
      <c r="G252">
        <v>770</v>
      </c>
      <c r="H252">
        <v>175</v>
      </c>
      <c r="I252">
        <v>500000</v>
      </c>
      <c r="J252">
        <v>180000</v>
      </c>
      <c r="K252">
        <v>0.42</v>
      </c>
      <c r="L252" t="s">
        <v>155</v>
      </c>
    </row>
    <row r="253" spans="1:12" x14ac:dyDescent="0.3">
      <c r="A253" s="1" t="s">
        <v>202</v>
      </c>
      <c r="B253" s="1" t="s">
        <v>40</v>
      </c>
      <c r="C253" s="1" t="s">
        <v>154</v>
      </c>
      <c r="D253" s="1">
        <v>200</v>
      </c>
      <c r="E253" s="1">
        <v>100</v>
      </c>
      <c r="F253" s="1">
        <v>125</v>
      </c>
      <c r="G253" s="1">
        <v>770</v>
      </c>
      <c r="H253" s="1">
        <v>100</v>
      </c>
      <c r="I253" s="1">
        <v>400000</v>
      </c>
      <c r="J253" s="1">
        <v>140000</v>
      </c>
      <c r="K253" s="1">
        <v>0.42</v>
      </c>
      <c r="L253" s="1" t="s">
        <v>155</v>
      </c>
    </row>
    <row r="254" spans="1:12" x14ac:dyDescent="0.3">
      <c r="A254" t="s">
        <v>203</v>
      </c>
      <c r="B254" t="s">
        <v>44</v>
      </c>
      <c r="C254" t="s">
        <v>153</v>
      </c>
      <c r="D254">
        <v>900</v>
      </c>
      <c r="E254">
        <v>400</v>
      </c>
      <c r="F254">
        <v>135</v>
      </c>
      <c r="G254">
        <v>335</v>
      </c>
      <c r="H254">
        <v>1050</v>
      </c>
      <c r="I254">
        <v>1200000</v>
      </c>
      <c r="J254">
        <v>440000</v>
      </c>
      <c r="K254">
        <v>0.36</v>
      </c>
      <c r="L254" t="s">
        <v>157</v>
      </c>
    </row>
    <row r="255" spans="1:12" x14ac:dyDescent="0.3">
      <c r="A255" t="s">
        <v>203</v>
      </c>
      <c r="B255" t="s">
        <v>35</v>
      </c>
      <c r="C255" t="s">
        <v>153</v>
      </c>
      <c r="D255">
        <v>675</v>
      </c>
      <c r="E255">
        <v>300</v>
      </c>
      <c r="F255">
        <v>135</v>
      </c>
      <c r="G255">
        <v>335</v>
      </c>
      <c r="H255">
        <v>950</v>
      </c>
      <c r="I255">
        <v>1100000</v>
      </c>
      <c r="J255">
        <v>400000</v>
      </c>
      <c r="K255">
        <v>0.36</v>
      </c>
      <c r="L255" t="s">
        <v>157</v>
      </c>
    </row>
    <row r="256" spans="1:12" x14ac:dyDescent="0.3">
      <c r="A256" t="s">
        <v>203</v>
      </c>
      <c r="B256" t="s">
        <v>36</v>
      </c>
      <c r="C256" t="s">
        <v>153</v>
      </c>
      <c r="D256">
        <v>675</v>
      </c>
      <c r="E256">
        <v>300</v>
      </c>
      <c r="F256">
        <v>135</v>
      </c>
      <c r="G256">
        <v>335</v>
      </c>
      <c r="H256">
        <v>900</v>
      </c>
      <c r="I256">
        <v>1000000</v>
      </c>
      <c r="J256">
        <v>370000</v>
      </c>
      <c r="K256">
        <v>0.36</v>
      </c>
      <c r="L256" t="s">
        <v>157</v>
      </c>
    </row>
    <row r="257" spans="1:12" x14ac:dyDescent="0.3">
      <c r="A257" t="s">
        <v>203</v>
      </c>
      <c r="B257" t="s">
        <v>37</v>
      </c>
      <c r="C257" t="s">
        <v>153</v>
      </c>
      <c r="D257">
        <v>375</v>
      </c>
      <c r="E257">
        <v>175</v>
      </c>
      <c r="F257">
        <v>135</v>
      </c>
      <c r="G257">
        <v>335</v>
      </c>
      <c r="H257">
        <v>525</v>
      </c>
      <c r="I257">
        <v>900000</v>
      </c>
      <c r="J257">
        <v>330000</v>
      </c>
      <c r="K257">
        <v>0.36</v>
      </c>
      <c r="L257" t="s">
        <v>157</v>
      </c>
    </row>
    <row r="258" spans="1:12" x14ac:dyDescent="0.3">
      <c r="A258" t="s">
        <v>203</v>
      </c>
      <c r="B258" t="s">
        <v>38</v>
      </c>
      <c r="C258" t="s">
        <v>153</v>
      </c>
      <c r="D258">
        <v>525</v>
      </c>
      <c r="E258">
        <v>225</v>
      </c>
      <c r="F258">
        <v>135</v>
      </c>
      <c r="G258">
        <v>335</v>
      </c>
      <c r="H258">
        <v>575</v>
      </c>
      <c r="I258">
        <v>900000</v>
      </c>
      <c r="J258">
        <v>330000</v>
      </c>
      <c r="K258">
        <v>0.36</v>
      </c>
      <c r="L258" t="s">
        <v>157</v>
      </c>
    </row>
    <row r="259" spans="1:12" x14ac:dyDescent="0.3">
      <c r="A259" t="s">
        <v>203</v>
      </c>
      <c r="B259" t="s">
        <v>19</v>
      </c>
      <c r="C259" t="s">
        <v>154</v>
      </c>
      <c r="D259">
        <v>775</v>
      </c>
      <c r="E259">
        <v>350</v>
      </c>
      <c r="F259">
        <v>135</v>
      </c>
      <c r="G259">
        <v>335</v>
      </c>
      <c r="H259">
        <v>1100</v>
      </c>
      <c r="I259">
        <v>1000000</v>
      </c>
      <c r="J259">
        <v>370000</v>
      </c>
      <c r="K259">
        <v>0.36</v>
      </c>
      <c r="L259" t="s">
        <v>157</v>
      </c>
    </row>
    <row r="260" spans="1:12" x14ac:dyDescent="0.3">
      <c r="A260" t="s">
        <v>203</v>
      </c>
      <c r="B260" t="s">
        <v>152</v>
      </c>
      <c r="C260" t="s">
        <v>154</v>
      </c>
      <c r="D260">
        <v>425</v>
      </c>
      <c r="E260">
        <v>200</v>
      </c>
      <c r="F260">
        <v>135</v>
      </c>
      <c r="G260">
        <v>335</v>
      </c>
      <c r="H260">
        <v>925</v>
      </c>
      <c r="I260">
        <v>900000</v>
      </c>
      <c r="J260">
        <v>330000</v>
      </c>
      <c r="K260">
        <v>0.36</v>
      </c>
      <c r="L260" t="s">
        <v>157</v>
      </c>
    </row>
    <row r="261" spans="1:12" x14ac:dyDescent="0.3">
      <c r="A261" s="1" t="s">
        <v>203</v>
      </c>
      <c r="B261" s="1" t="s">
        <v>40</v>
      </c>
      <c r="C261" s="1" t="s">
        <v>154</v>
      </c>
      <c r="D261" s="1">
        <v>200</v>
      </c>
      <c r="E261" s="1">
        <v>100</v>
      </c>
      <c r="F261" s="1">
        <v>135</v>
      </c>
      <c r="G261" s="1">
        <v>335</v>
      </c>
      <c r="H261" s="1">
        <v>600</v>
      </c>
      <c r="I261" s="1">
        <v>800000</v>
      </c>
      <c r="J261" s="1">
        <v>290000</v>
      </c>
      <c r="K261" s="1">
        <v>0.36</v>
      </c>
      <c r="L261" s="1" t="s">
        <v>157</v>
      </c>
    </row>
    <row r="262" spans="1:12" x14ac:dyDescent="0.3">
      <c r="A262" t="s">
        <v>204</v>
      </c>
      <c r="B262" t="s">
        <v>44</v>
      </c>
      <c r="C262" t="s">
        <v>153</v>
      </c>
      <c r="D262">
        <v>1200</v>
      </c>
      <c r="E262">
        <v>700</v>
      </c>
      <c r="F262">
        <v>220</v>
      </c>
      <c r="G262">
        <v>800</v>
      </c>
      <c r="H262">
        <v>11000</v>
      </c>
      <c r="I262">
        <v>1100000</v>
      </c>
      <c r="J262">
        <v>400000</v>
      </c>
      <c r="K262">
        <v>0.73</v>
      </c>
      <c r="L262" t="s">
        <v>160</v>
      </c>
    </row>
    <row r="263" spans="1:12" x14ac:dyDescent="0.3">
      <c r="A263" t="s">
        <v>204</v>
      </c>
      <c r="B263" t="s">
        <v>35</v>
      </c>
      <c r="C263" t="s">
        <v>153</v>
      </c>
      <c r="D263">
        <v>875</v>
      </c>
      <c r="E263">
        <v>500</v>
      </c>
      <c r="F263">
        <v>220</v>
      </c>
      <c r="G263">
        <v>800</v>
      </c>
      <c r="H263">
        <v>900</v>
      </c>
      <c r="I263">
        <v>1000000</v>
      </c>
      <c r="J263">
        <v>370000</v>
      </c>
      <c r="K263">
        <v>0.73</v>
      </c>
      <c r="L263" t="s">
        <v>160</v>
      </c>
    </row>
    <row r="264" spans="1:12" x14ac:dyDescent="0.3">
      <c r="A264" t="s">
        <v>204</v>
      </c>
      <c r="B264" t="s">
        <v>36</v>
      </c>
      <c r="C264" t="s">
        <v>153</v>
      </c>
      <c r="D264">
        <v>850</v>
      </c>
      <c r="E264">
        <v>500</v>
      </c>
      <c r="F264">
        <v>220</v>
      </c>
      <c r="G264">
        <v>800</v>
      </c>
      <c r="H264">
        <v>700</v>
      </c>
      <c r="I264">
        <v>900000</v>
      </c>
      <c r="J264">
        <v>330000</v>
      </c>
      <c r="K264">
        <v>0.73</v>
      </c>
      <c r="L264" t="s">
        <v>160</v>
      </c>
    </row>
    <row r="265" spans="1:12" x14ac:dyDescent="0.3">
      <c r="A265" t="s">
        <v>204</v>
      </c>
      <c r="B265" t="s">
        <v>37</v>
      </c>
      <c r="C265" t="s">
        <v>153</v>
      </c>
      <c r="D265">
        <v>475</v>
      </c>
      <c r="E265">
        <v>275</v>
      </c>
      <c r="F265">
        <v>220</v>
      </c>
      <c r="G265">
        <v>800</v>
      </c>
      <c r="H265">
        <v>400</v>
      </c>
      <c r="I265">
        <v>800000</v>
      </c>
      <c r="J265">
        <v>290000</v>
      </c>
      <c r="K265">
        <v>0.73</v>
      </c>
      <c r="L265" t="s">
        <v>160</v>
      </c>
    </row>
    <row r="266" spans="1:12" x14ac:dyDescent="0.3">
      <c r="A266" t="s">
        <v>204</v>
      </c>
      <c r="B266" t="s">
        <v>38</v>
      </c>
      <c r="C266" t="s">
        <v>153</v>
      </c>
      <c r="D266">
        <v>650</v>
      </c>
      <c r="E266">
        <v>375</v>
      </c>
      <c r="F266">
        <v>220</v>
      </c>
      <c r="G266">
        <v>800</v>
      </c>
      <c r="H266">
        <v>450</v>
      </c>
      <c r="I266">
        <v>800000</v>
      </c>
      <c r="J266">
        <v>290000</v>
      </c>
      <c r="K266">
        <v>0.73</v>
      </c>
      <c r="L266" t="s">
        <v>160</v>
      </c>
    </row>
    <row r="267" spans="1:12" x14ac:dyDescent="0.3">
      <c r="A267" t="s">
        <v>204</v>
      </c>
      <c r="B267" t="s">
        <v>19</v>
      </c>
      <c r="C267" t="s">
        <v>154</v>
      </c>
      <c r="D267">
        <v>950</v>
      </c>
      <c r="E267">
        <v>550</v>
      </c>
      <c r="F267">
        <v>220</v>
      </c>
      <c r="G267">
        <v>800</v>
      </c>
      <c r="H267">
        <v>925</v>
      </c>
      <c r="I267">
        <v>800000</v>
      </c>
      <c r="J267">
        <v>290000</v>
      </c>
      <c r="K267">
        <v>0.73</v>
      </c>
      <c r="L267" t="s">
        <v>160</v>
      </c>
    </row>
    <row r="268" spans="1:12" x14ac:dyDescent="0.3">
      <c r="A268" t="s">
        <v>204</v>
      </c>
      <c r="B268" t="s">
        <v>152</v>
      </c>
      <c r="C268" t="s">
        <v>154</v>
      </c>
      <c r="D268">
        <v>525</v>
      </c>
      <c r="E268">
        <v>325</v>
      </c>
      <c r="F268">
        <v>220</v>
      </c>
      <c r="G268">
        <v>800</v>
      </c>
      <c r="H268">
        <v>725</v>
      </c>
      <c r="I268">
        <v>800000</v>
      </c>
      <c r="J268">
        <v>290000</v>
      </c>
      <c r="K268">
        <v>0.73</v>
      </c>
      <c r="L268" t="s">
        <v>160</v>
      </c>
    </row>
    <row r="269" spans="1:12" x14ac:dyDescent="0.3">
      <c r="A269" s="1" t="s">
        <v>204</v>
      </c>
      <c r="B269" s="1" t="s">
        <v>40</v>
      </c>
      <c r="C269" s="1" t="s">
        <v>154</v>
      </c>
      <c r="D269" s="1">
        <v>250</v>
      </c>
      <c r="E269" s="1">
        <v>150</v>
      </c>
      <c r="F269" s="1">
        <v>220</v>
      </c>
      <c r="G269" s="1">
        <v>800</v>
      </c>
      <c r="H269" s="1">
        <v>475</v>
      </c>
      <c r="I269" s="1">
        <v>800000</v>
      </c>
      <c r="J269" s="1">
        <v>290000</v>
      </c>
      <c r="K269" s="1">
        <v>0.73</v>
      </c>
      <c r="L269" s="1" t="s">
        <v>160</v>
      </c>
    </row>
    <row r="270" spans="1:12" x14ac:dyDescent="0.3">
      <c r="A270" t="s">
        <v>205</v>
      </c>
      <c r="B270" t="s">
        <v>44</v>
      </c>
      <c r="C270" t="s">
        <v>153</v>
      </c>
      <c r="D270">
        <v>1200</v>
      </c>
      <c r="E270">
        <v>725</v>
      </c>
      <c r="F270">
        <v>175</v>
      </c>
      <c r="G270">
        <v>540</v>
      </c>
      <c r="H270">
        <v>1200</v>
      </c>
      <c r="I270">
        <v>1600000</v>
      </c>
      <c r="J270">
        <v>580000</v>
      </c>
      <c r="K270">
        <v>0.46</v>
      </c>
      <c r="L270" t="s">
        <v>161</v>
      </c>
    </row>
    <row r="271" spans="1:12" x14ac:dyDescent="0.3">
      <c r="A271" t="s">
        <v>205</v>
      </c>
      <c r="B271" t="s">
        <v>35</v>
      </c>
      <c r="C271" t="s">
        <v>153</v>
      </c>
      <c r="D271">
        <v>800</v>
      </c>
      <c r="E271">
        <v>475</v>
      </c>
      <c r="F271">
        <v>175</v>
      </c>
      <c r="G271">
        <v>540</v>
      </c>
      <c r="H271">
        <v>1000</v>
      </c>
      <c r="I271">
        <v>1400000</v>
      </c>
      <c r="J271">
        <v>510000</v>
      </c>
      <c r="K271">
        <v>0.46</v>
      </c>
      <c r="L271" t="s">
        <v>161</v>
      </c>
    </row>
    <row r="272" spans="1:12" x14ac:dyDescent="0.3">
      <c r="A272" t="s">
        <v>205</v>
      </c>
      <c r="B272" t="s">
        <v>36</v>
      </c>
      <c r="C272" t="s">
        <v>153</v>
      </c>
      <c r="D272">
        <v>800</v>
      </c>
      <c r="E272">
        <v>475</v>
      </c>
      <c r="F272">
        <v>175</v>
      </c>
      <c r="G272">
        <v>540</v>
      </c>
      <c r="H272">
        <v>1000</v>
      </c>
      <c r="I272">
        <v>1400000</v>
      </c>
      <c r="J272">
        <v>510000</v>
      </c>
      <c r="K272">
        <v>0.46</v>
      </c>
      <c r="L272" t="s">
        <v>161</v>
      </c>
    </row>
    <row r="273" spans="1:12" x14ac:dyDescent="0.3">
      <c r="A273" t="s">
        <v>205</v>
      </c>
      <c r="B273" t="s">
        <v>37</v>
      </c>
      <c r="C273" t="s">
        <v>153</v>
      </c>
      <c r="D273">
        <v>475</v>
      </c>
      <c r="E273">
        <v>275</v>
      </c>
      <c r="F273">
        <v>175</v>
      </c>
      <c r="G273">
        <v>540</v>
      </c>
      <c r="H273">
        <v>575</v>
      </c>
      <c r="I273">
        <v>1200000</v>
      </c>
      <c r="J273">
        <v>440000</v>
      </c>
      <c r="K273">
        <v>0.46</v>
      </c>
      <c r="L273" t="s">
        <v>161</v>
      </c>
    </row>
    <row r="274" spans="1:12" x14ac:dyDescent="0.3">
      <c r="A274" t="s">
        <v>205</v>
      </c>
      <c r="B274" t="s">
        <v>38</v>
      </c>
      <c r="C274" t="s">
        <v>153</v>
      </c>
      <c r="D274">
        <v>625</v>
      </c>
      <c r="E274">
        <v>375</v>
      </c>
      <c r="F274">
        <v>175</v>
      </c>
      <c r="G274">
        <v>540</v>
      </c>
      <c r="H274">
        <v>650</v>
      </c>
      <c r="I274">
        <v>1200000</v>
      </c>
      <c r="J274">
        <v>440000</v>
      </c>
      <c r="K274">
        <v>0.46</v>
      </c>
      <c r="L274" t="s">
        <v>161</v>
      </c>
    </row>
    <row r="275" spans="1:12" x14ac:dyDescent="0.3">
      <c r="A275" t="s">
        <v>205</v>
      </c>
      <c r="B275" t="s">
        <v>19</v>
      </c>
      <c r="C275" t="s">
        <v>154</v>
      </c>
      <c r="D275">
        <v>925</v>
      </c>
      <c r="E275">
        <v>550</v>
      </c>
      <c r="F275">
        <v>175</v>
      </c>
      <c r="G275">
        <v>540</v>
      </c>
      <c r="H275">
        <v>1200</v>
      </c>
      <c r="I275">
        <v>1300000</v>
      </c>
      <c r="J275">
        <v>470000</v>
      </c>
      <c r="K275">
        <v>0.46</v>
      </c>
      <c r="L275" t="s">
        <v>161</v>
      </c>
    </row>
    <row r="276" spans="1:12" x14ac:dyDescent="0.3">
      <c r="A276" t="s">
        <v>205</v>
      </c>
      <c r="B276" t="s">
        <v>152</v>
      </c>
      <c r="C276" t="s">
        <v>154</v>
      </c>
      <c r="D276">
        <v>525</v>
      </c>
      <c r="E276">
        <v>300</v>
      </c>
      <c r="F276">
        <v>175</v>
      </c>
      <c r="G276">
        <v>540</v>
      </c>
      <c r="H276">
        <v>1050</v>
      </c>
      <c r="I276">
        <v>1200000</v>
      </c>
      <c r="J276">
        <v>440000</v>
      </c>
      <c r="K276">
        <v>0.46</v>
      </c>
      <c r="L276" t="s">
        <v>161</v>
      </c>
    </row>
    <row r="277" spans="1:12" x14ac:dyDescent="0.3">
      <c r="A277" s="1" t="s">
        <v>205</v>
      </c>
      <c r="B277" s="1" t="s">
        <v>40</v>
      </c>
      <c r="C277" s="1" t="s">
        <v>154</v>
      </c>
      <c r="D277" s="1">
        <v>250</v>
      </c>
      <c r="E277" s="1">
        <v>150</v>
      </c>
      <c r="F277" s="1">
        <v>175</v>
      </c>
      <c r="G277" s="1">
        <v>540</v>
      </c>
      <c r="H277" s="1">
        <v>675</v>
      </c>
      <c r="I277" s="1">
        <v>1100000</v>
      </c>
      <c r="J277" s="1">
        <v>400000</v>
      </c>
      <c r="K277" s="1">
        <v>0.46</v>
      </c>
      <c r="L277" s="1" t="s">
        <v>161</v>
      </c>
    </row>
    <row r="278" spans="1:12" x14ac:dyDescent="0.3">
      <c r="A278" t="s">
        <v>206</v>
      </c>
      <c r="B278" t="s">
        <v>44</v>
      </c>
      <c r="C278" t="s">
        <v>153</v>
      </c>
      <c r="D278">
        <v>1000</v>
      </c>
      <c r="E278">
        <v>575</v>
      </c>
      <c r="F278">
        <v>145</v>
      </c>
      <c r="G278">
        <v>420</v>
      </c>
      <c r="H278">
        <v>900</v>
      </c>
      <c r="I278">
        <v>1500000</v>
      </c>
      <c r="J278">
        <v>550000</v>
      </c>
      <c r="K278">
        <v>0.43</v>
      </c>
      <c r="L278" t="s">
        <v>160</v>
      </c>
    </row>
    <row r="279" spans="1:12" x14ac:dyDescent="0.3">
      <c r="A279" t="s">
        <v>206</v>
      </c>
      <c r="B279" t="s">
        <v>35</v>
      </c>
      <c r="C279" t="s">
        <v>153</v>
      </c>
      <c r="D279">
        <v>725</v>
      </c>
      <c r="E279">
        <v>425</v>
      </c>
      <c r="F279">
        <v>145</v>
      </c>
      <c r="G279">
        <v>420</v>
      </c>
      <c r="H279">
        <v>725</v>
      </c>
      <c r="I279">
        <v>1400000</v>
      </c>
      <c r="J279">
        <v>510000</v>
      </c>
      <c r="K279">
        <v>0.43</v>
      </c>
      <c r="L279" t="s">
        <v>160</v>
      </c>
    </row>
    <row r="280" spans="1:12" x14ac:dyDescent="0.3">
      <c r="A280" t="s">
        <v>206</v>
      </c>
      <c r="B280" t="s">
        <v>36</v>
      </c>
      <c r="C280" t="s">
        <v>153</v>
      </c>
      <c r="D280">
        <v>700</v>
      </c>
      <c r="E280">
        <v>400</v>
      </c>
      <c r="F280">
        <v>145</v>
      </c>
      <c r="G280">
        <v>420</v>
      </c>
      <c r="H280">
        <v>575</v>
      </c>
      <c r="I280">
        <v>1300000</v>
      </c>
      <c r="J280">
        <v>470000</v>
      </c>
      <c r="K280">
        <v>0.43</v>
      </c>
      <c r="L280" t="s">
        <v>160</v>
      </c>
    </row>
    <row r="281" spans="1:12" x14ac:dyDescent="0.3">
      <c r="A281" t="s">
        <v>206</v>
      </c>
      <c r="B281" t="s">
        <v>37</v>
      </c>
      <c r="C281" t="s">
        <v>153</v>
      </c>
      <c r="D281">
        <v>400</v>
      </c>
      <c r="E281">
        <v>225</v>
      </c>
      <c r="F281">
        <v>145</v>
      </c>
      <c r="G281">
        <v>420</v>
      </c>
      <c r="H281">
        <v>325</v>
      </c>
      <c r="I281">
        <v>1200000</v>
      </c>
      <c r="J281">
        <v>440000</v>
      </c>
      <c r="K281">
        <v>0.43</v>
      </c>
      <c r="L281" t="s">
        <v>160</v>
      </c>
    </row>
    <row r="282" spans="1:12" x14ac:dyDescent="0.3">
      <c r="A282" t="s">
        <v>206</v>
      </c>
      <c r="B282" t="s">
        <v>38</v>
      </c>
      <c r="C282" t="s">
        <v>153</v>
      </c>
      <c r="D282">
        <v>550</v>
      </c>
      <c r="E282">
        <v>325</v>
      </c>
      <c r="F282">
        <v>145</v>
      </c>
      <c r="G282">
        <v>420</v>
      </c>
      <c r="H282">
        <v>350</v>
      </c>
      <c r="I282">
        <v>1200000</v>
      </c>
      <c r="J282">
        <v>440000</v>
      </c>
      <c r="K282">
        <v>0.43</v>
      </c>
      <c r="L282" t="s">
        <v>160</v>
      </c>
    </row>
    <row r="283" spans="1:12" x14ac:dyDescent="0.3">
      <c r="A283" t="s">
        <v>206</v>
      </c>
      <c r="B283" t="s">
        <v>19</v>
      </c>
      <c r="C283" t="s">
        <v>154</v>
      </c>
      <c r="D283">
        <v>800</v>
      </c>
      <c r="E283">
        <v>475</v>
      </c>
      <c r="F283">
        <v>145</v>
      </c>
      <c r="G283">
        <v>420</v>
      </c>
      <c r="H283">
        <v>750</v>
      </c>
      <c r="I283">
        <v>1300000</v>
      </c>
      <c r="J283">
        <v>470000</v>
      </c>
      <c r="K283">
        <v>0.43</v>
      </c>
      <c r="L283" t="s">
        <v>160</v>
      </c>
    </row>
    <row r="284" spans="1:12" x14ac:dyDescent="0.3">
      <c r="A284" t="s">
        <v>206</v>
      </c>
      <c r="B284" t="s">
        <v>152</v>
      </c>
      <c r="C284" t="s">
        <v>154</v>
      </c>
      <c r="D284">
        <v>450</v>
      </c>
      <c r="E284">
        <v>250</v>
      </c>
      <c r="F284">
        <v>145</v>
      </c>
      <c r="G284">
        <v>420</v>
      </c>
      <c r="H284">
        <v>575</v>
      </c>
      <c r="I284">
        <v>1100000</v>
      </c>
      <c r="J284">
        <v>400000</v>
      </c>
      <c r="K284">
        <v>0.43</v>
      </c>
      <c r="L284" t="s">
        <v>160</v>
      </c>
    </row>
    <row r="285" spans="1:12" x14ac:dyDescent="0.3">
      <c r="A285" t="s">
        <v>206</v>
      </c>
      <c r="B285" t="s">
        <v>40</v>
      </c>
      <c r="C285" t="s">
        <v>154</v>
      </c>
      <c r="D285">
        <v>200</v>
      </c>
      <c r="E285">
        <v>125</v>
      </c>
      <c r="F285">
        <v>145</v>
      </c>
      <c r="G285">
        <v>420</v>
      </c>
      <c r="H285">
        <v>375</v>
      </c>
      <c r="I285">
        <v>1100000</v>
      </c>
      <c r="J285">
        <v>400000</v>
      </c>
      <c r="K285">
        <v>0.43</v>
      </c>
      <c r="L285" t="s">
        <v>160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F9905-176D-4EF3-A513-78BE4CEB9C01}">
  <dimension ref="A1:A36"/>
  <sheetViews>
    <sheetView topLeftCell="A22" workbookViewId="0">
      <selection activeCell="A36" sqref="A36"/>
    </sheetView>
  </sheetViews>
  <sheetFormatPr defaultRowHeight="14.4" x14ac:dyDescent="0.3"/>
  <sheetData>
    <row r="1" spans="1:1" x14ac:dyDescent="0.3">
      <c r="A1" t="s">
        <v>151</v>
      </c>
    </row>
    <row r="2" spans="1:1" x14ac:dyDescent="0.3">
      <c r="A2" t="s">
        <v>172</v>
      </c>
    </row>
    <row r="3" spans="1:1" x14ac:dyDescent="0.3">
      <c r="A3" t="s">
        <v>173</v>
      </c>
    </row>
    <row r="4" spans="1:1" x14ac:dyDescent="0.3">
      <c r="A4" t="s">
        <v>174</v>
      </c>
    </row>
    <row r="5" spans="1:1" x14ac:dyDescent="0.3">
      <c r="A5" t="s">
        <v>175</v>
      </c>
    </row>
    <row r="6" spans="1:1" x14ac:dyDescent="0.3">
      <c r="A6" t="s">
        <v>176</v>
      </c>
    </row>
    <row r="7" spans="1:1" x14ac:dyDescent="0.3">
      <c r="A7" t="s">
        <v>177</v>
      </c>
    </row>
    <row r="8" spans="1:1" x14ac:dyDescent="0.3">
      <c r="A8" t="s">
        <v>178</v>
      </c>
    </row>
    <row r="9" spans="1:1" x14ac:dyDescent="0.3">
      <c r="A9" t="s">
        <v>179</v>
      </c>
    </row>
    <row r="10" spans="1:1" x14ac:dyDescent="0.3">
      <c r="A10" s="3" t="s">
        <v>180</v>
      </c>
    </row>
    <row r="11" spans="1:1" x14ac:dyDescent="0.3">
      <c r="A11" t="s">
        <v>181</v>
      </c>
    </row>
    <row r="12" spans="1:1" x14ac:dyDescent="0.3">
      <c r="A12" t="s">
        <v>182</v>
      </c>
    </row>
    <row r="13" spans="1:1" x14ac:dyDescent="0.3">
      <c r="A13" t="s">
        <v>183</v>
      </c>
    </row>
    <row r="14" spans="1:1" x14ac:dyDescent="0.3">
      <c r="A14" t="s">
        <v>184</v>
      </c>
    </row>
    <row r="15" spans="1:1" x14ac:dyDescent="0.3">
      <c r="A15" t="s">
        <v>185</v>
      </c>
    </row>
    <row r="16" spans="1:1" x14ac:dyDescent="0.3">
      <c r="A16" t="s">
        <v>186</v>
      </c>
    </row>
    <row r="17" spans="1:1" x14ac:dyDescent="0.3">
      <c r="A17" t="s">
        <v>187</v>
      </c>
    </row>
    <row r="18" spans="1:1" x14ac:dyDescent="0.3">
      <c r="A18" t="s">
        <v>188</v>
      </c>
    </row>
    <row r="19" spans="1:1" x14ac:dyDescent="0.3">
      <c r="A19" t="s">
        <v>189</v>
      </c>
    </row>
    <row r="20" spans="1:1" x14ac:dyDescent="0.3">
      <c r="A20" t="s">
        <v>190</v>
      </c>
    </row>
    <row r="21" spans="1:1" x14ac:dyDescent="0.3">
      <c r="A21" t="s">
        <v>191</v>
      </c>
    </row>
    <row r="22" spans="1:1" x14ac:dyDescent="0.3">
      <c r="A22" t="s">
        <v>192</v>
      </c>
    </row>
    <row r="23" spans="1:1" x14ac:dyDescent="0.3">
      <c r="A23" t="s">
        <v>193</v>
      </c>
    </row>
    <row r="24" spans="1:1" x14ac:dyDescent="0.3">
      <c r="A24" t="s">
        <v>194</v>
      </c>
    </row>
    <row r="25" spans="1:1" x14ac:dyDescent="0.3">
      <c r="A25" t="s">
        <v>195</v>
      </c>
    </row>
    <row r="26" spans="1:1" x14ac:dyDescent="0.3">
      <c r="A26" t="s">
        <v>196</v>
      </c>
    </row>
    <row r="27" spans="1:1" x14ac:dyDescent="0.3">
      <c r="A27" t="s">
        <v>197</v>
      </c>
    </row>
    <row r="28" spans="1:1" x14ac:dyDescent="0.3">
      <c r="A28" t="s">
        <v>198</v>
      </c>
    </row>
    <row r="29" spans="1:1" x14ac:dyDescent="0.3">
      <c r="A29" t="s">
        <v>199</v>
      </c>
    </row>
    <row r="30" spans="1:1" x14ac:dyDescent="0.3">
      <c r="A30" t="s">
        <v>200</v>
      </c>
    </row>
    <row r="31" spans="1:1" x14ac:dyDescent="0.3">
      <c r="A31" t="s">
        <v>201</v>
      </c>
    </row>
    <row r="32" spans="1:1" x14ac:dyDescent="0.3">
      <c r="A32" t="s">
        <v>202</v>
      </c>
    </row>
    <row r="33" spans="1:1" x14ac:dyDescent="0.3">
      <c r="A33" t="s">
        <v>203</v>
      </c>
    </row>
    <row r="34" spans="1:1" x14ac:dyDescent="0.3">
      <c r="A34" t="s">
        <v>204</v>
      </c>
    </row>
    <row r="35" spans="1:1" x14ac:dyDescent="0.3">
      <c r="A35" t="s">
        <v>205</v>
      </c>
    </row>
    <row r="36" spans="1:1" x14ac:dyDescent="0.3">
      <c r="A36" t="s">
        <v>206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65359-3324-45D3-9EBB-2680E95BFE02}">
  <dimension ref="A1:L269"/>
  <sheetViews>
    <sheetView topLeftCell="A40" workbookViewId="0">
      <selection activeCell="A60" sqref="A60"/>
    </sheetView>
  </sheetViews>
  <sheetFormatPr defaultRowHeight="14.4" x14ac:dyDescent="0.3"/>
  <cols>
    <col min="1" max="1" width="55.44140625" customWidth="1"/>
    <col min="2" max="2" width="22.109375" customWidth="1"/>
    <col min="3" max="3" width="17.77734375" customWidth="1"/>
    <col min="12" max="12" width="17" customWidth="1"/>
  </cols>
  <sheetData>
    <row r="1" spans="1:12" x14ac:dyDescent="0.3">
      <c r="A1" t="s">
        <v>151</v>
      </c>
      <c r="B1" t="s">
        <v>33</v>
      </c>
      <c r="C1" t="s">
        <v>42</v>
      </c>
      <c r="D1" t="s">
        <v>20</v>
      </c>
      <c r="E1" t="s">
        <v>22</v>
      </c>
      <c r="F1" t="s">
        <v>21</v>
      </c>
      <c r="G1" t="s">
        <v>23</v>
      </c>
      <c r="H1" t="s">
        <v>24</v>
      </c>
      <c r="I1" t="s">
        <v>25</v>
      </c>
      <c r="J1" t="s">
        <v>26</v>
      </c>
      <c r="K1" t="s">
        <v>149</v>
      </c>
      <c r="L1" t="s">
        <v>150</v>
      </c>
    </row>
    <row r="2" spans="1:12" x14ac:dyDescent="0.3">
      <c r="A2" t="s">
        <v>172</v>
      </c>
      <c r="B2" t="s">
        <v>44</v>
      </c>
      <c r="C2" t="s">
        <v>165</v>
      </c>
      <c r="D2">
        <v>1400</v>
      </c>
      <c r="E2">
        <v>675</v>
      </c>
      <c r="F2">
        <v>155</v>
      </c>
      <c r="G2">
        <v>525</v>
      </c>
      <c r="H2">
        <v>925</v>
      </c>
      <c r="I2">
        <v>1200000</v>
      </c>
      <c r="J2">
        <v>440000</v>
      </c>
      <c r="K2">
        <v>0.47</v>
      </c>
      <c r="L2" t="s">
        <v>155</v>
      </c>
    </row>
    <row r="3" spans="1:12" x14ac:dyDescent="0.3">
      <c r="A3" t="s">
        <v>172</v>
      </c>
      <c r="B3" t="s">
        <v>35</v>
      </c>
      <c r="C3" t="s">
        <v>165</v>
      </c>
      <c r="D3">
        <v>1150</v>
      </c>
      <c r="E3">
        <v>475</v>
      </c>
      <c r="F3">
        <v>155</v>
      </c>
      <c r="G3">
        <v>525</v>
      </c>
      <c r="H3">
        <v>775</v>
      </c>
      <c r="I3">
        <v>1200000</v>
      </c>
      <c r="J3">
        <v>440000</v>
      </c>
      <c r="K3">
        <v>0.47</v>
      </c>
      <c r="L3" t="s">
        <v>155</v>
      </c>
    </row>
    <row r="4" spans="1:12" x14ac:dyDescent="0.3">
      <c r="A4" t="s">
        <v>172</v>
      </c>
      <c r="B4" t="s">
        <v>36</v>
      </c>
      <c r="C4" t="s">
        <v>165</v>
      </c>
      <c r="D4">
        <v>750</v>
      </c>
      <c r="E4">
        <v>300</v>
      </c>
      <c r="F4">
        <v>155</v>
      </c>
      <c r="G4">
        <v>525</v>
      </c>
      <c r="H4">
        <v>500</v>
      </c>
      <c r="I4">
        <v>1000000</v>
      </c>
      <c r="J4">
        <v>370000</v>
      </c>
      <c r="K4">
        <v>0.47</v>
      </c>
      <c r="L4" t="s">
        <v>155</v>
      </c>
    </row>
    <row r="5" spans="1:12" x14ac:dyDescent="0.3">
      <c r="A5" t="s">
        <v>172</v>
      </c>
      <c r="B5" t="s">
        <v>44</v>
      </c>
      <c r="C5" t="s">
        <v>91</v>
      </c>
      <c r="D5">
        <v>1300</v>
      </c>
      <c r="E5">
        <v>700</v>
      </c>
      <c r="F5">
        <v>155</v>
      </c>
      <c r="G5">
        <v>525</v>
      </c>
      <c r="H5">
        <v>975</v>
      </c>
      <c r="I5">
        <v>1200000</v>
      </c>
      <c r="J5">
        <v>440000</v>
      </c>
      <c r="K5">
        <v>0.47</v>
      </c>
      <c r="L5" t="s">
        <v>155</v>
      </c>
    </row>
    <row r="6" spans="1:12" x14ac:dyDescent="0.3">
      <c r="A6" t="s">
        <v>172</v>
      </c>
      <c r="B6" t="s">
        <v>35</v>
      </c>
      <c r="C6" t="s">
        <v>91</v>
      </c>
      <c r="D6">
        <v>1050</v>
      </c>
      <c r="E6">
        <v>575</v>
      </c>
      <c r="F6">
        <v>155</v>
      </c>
      <c r="G6">
        <v>525</v>
      </c>
      <c r="H6">
        <v>850</v>
      </c>
      <c r="I6">
        <v>1200000</v>
      </c>
      <c r="J6">
        <v>440000</v>
      </c>
      <c r="K6">
        <v>0.47</v>
      </c>
      <c r="L6" t="s">
        <v>155</v>
      </c>
    </row>
    <row r="7" spans="1:12" x14ac:dyDescent="0.3">
      <c r="A7" s="1" t="s">
        <v>172</v>
      </c>
      <c r="B7" s="1" t="s">
        <v>36</v>
      </c>
      <c r="C7" s="1" t="s">
        <v>91</v>
      </c>
      <c r="D7" s="1">
        <v>625</v>
      </c>
      <c r="E7" s="1">
        <v>350</v>
      </c>
      <c r="F7" s="1">
        <v>155</v>
      </c>
      <c r="G7" s="1">
        <v>525</v>
      </c>
      <c r="H7" s="1">
        <v>600</v>
      </c>
      <c r="I7" s="1">
        <v>1000000</v>
      </c>
      <c r="J7" s="1">
        <v>370000</v>
      </c>
      <c r="K7" s="1">
        <v>0.47</v>
      </c>
      <c r="L7" s="1" t="s">
        <v>155</v>
      </c>
    </row>
    <row r="8" spans="1:12" x14ac:dyDescent="0.3">
      <c r="A8" t="s">
        <v>177</v>
      </c>
      <c r="B8" t="s">
        <v>44</v>
      </c>
      <c r="C8" t="s">
        <v>165</v>
      </c>
      <c r="D8">
        <v>1150</v>
      </c>
      <c r="E8">
        <v>750</v>
      </c>
      <c r="F8">
        <v>200</v>
      </c>
      <c r="G8">
        <v>615</v>
      </c>
      <c r="H8">
        <v>1050</v>
      </c>
      <c r="I8">
        <v>1300000</v>
      </c>
      <c r="J8">
        <v>470000</v>
      </c>
      <c r="K8">
        <v>0.43</v>
      </c>
      <c r="L8" t="s">
        <v>159</v>
      </c>
    </row>
    <row r="9" spans="1:12" x14ac:dyDescent="0.3">
      <c r="A9" t="s">
        <v>177</v>
      </c>
      <c r="B9" t="s">
        <v>35</v>
      </c>
      <c r="C9" t="s">
        <v>165</v>
      </c>
      <c r="D9">
        <v>1000</v>
      </c>
      <c r="E9">
        <v>675</v>
      </c>
      <c r="F9">
        <v>200</v>
      </c>
      <c r="G9">
        <v>615</v>
      </c>
      <c r="H9">
        <v>925</v>
      </c>
      <c r="I9">
        <v>1300000</v>
      </c>
      <c r="J9">
        <v>470000</v>
      </c>
      <c r="K9">
        <v>0.43</v>
      </c>
      <c r="L9" t="s">
        <v>159</v>
      </c>
    </row>
    <row r="10" spans="1:12" x14ac:dyDescent="0.3">
      <c r="A10" t="s">
        <v>177</v>
      </c>
      <c r="B10" t="s">
        <v>36</v>
      </c>
      <c r="C10" t="s">
        <v>165</v>
      </c>
      <c r="D10">
        <v>625</v>
      </c>
      <c r="E10">
        <v>425</v>
      </c>
      <c r="F10">
        <v>175</v>
      </c>
      <c r="G10">
        <v>615</v>
      </c>
      <c r="H10">
        <v>600</v>
      </c>
      <c r="I10">
        <v>1000000</v>
      </c>
      <c r="J10">
        <v>370000</v>
      </c>
      <c r="K10">
        <v>0.43</v>
      </c>
      <c r="L10" t="s">
        <v>159</v>
      </c>
    </row>
    <row r="11" spans="1:12" x14ac:dyDescent="0.3">
      <c r="A11" t="s">
        <v>177</v>
      </c>
      <c r="B11" t="s">
        <v>44</v>
      </c>
      <c r="C11" t="s">
        <v>91</v>
      </c>
      <c r="D11">
        <v>1150</v>
      </c>
      <c r="E11">
        <v>750</v>
      </c>
      <c r="F11">
        <v>200</v>
      </c>
      <c r="G11">
        <v>615</v>
      </c>
      <c r="H11">
        <v>1050</v>
      </c>
      <c r="I11">
        <v>1300000</v>
      </c>
      <c r="J11">
        <v>470000</v>
      </c>
      <c r="K11">
        <v>0.43</v>
      </c>
      <c r="L11" t="s">
        <v>159</v>
      </c>
    </row>
    <row r="12" spans="1:12" x14ac:dyDescent="0.3">
      <c r="A12" t="s">
        <v>177</v>
      </c>
      <c r="B12" t="s">
        <v>35</v>
      </c>
      <c r="C12" t="s">
        <v>91</v>
      </c>
      <c r="D12">
        <v>1000</v>
      </c>
      <c r="E12">
        <v>675</v>
      </c>
      <c r="F12">
        <v>200</v>
      </c>
      <c r="G12">
        <v>615</v>
      </c>
      <c r="H12">
        <v>925</v>
      </c>
      <c r="I12">
        <v>1300000</v>
      </c>
      <c r="J12">
        <v>470000</v>
      </c>
      <c r="K12">
        <v>0.43</v>
      </c>
      <c r="L12" t="s">
        <v>159</v>
      </c>
    </row>
    <row r="13" spans="1:12" x14ac:dyDescent="0.3">
      <c r="A13" s="1" t="s">
        <v>177</v>
      </c>
      <c r="B13" s="1" t="s">
        <v>36</v>
      </c>
      <c r="C13" s="1" t="s">
        <v>91</v>
      </c>
      <c r="D13" s="1">
        <v>625</v>
      </c>
      <c r="E13" s="1">
        <v>425</v>
      </c>
      <c r="F13" s="1">
        <v>175</v>
      </c>
      <c r="G13" s="1">
        <v>615</v>
      </c>
      <c r="H13" s="1">
        <v>600</v>
      </c>
      <c r="I13" s="1">
        <v>1000000</v>
      </c>
      <c r="J13" s="1">
        <v>370000</v>
      </c>
      <c r="K13" s="1">
        <v>0.43</v>
      </c>
      <c r="L13" s="1" t="s">
        <v>159</v>
      </c>
    </row>
    <row r="14" spans="1:12" x14ac:dyDescent="0.3">
      <c r="A14" t="s">
        <v>207</v>
      </c>
      <c r="B14" t="s">
        <v>44</v>
      </c>
      <c r="C14" t="s">
        <v>165</v>
      </c>
      <c r="D14">
        <v>1350</v>
      </c>
      <c r="E14">
        <v>900</v>
      </c>
      <c r="F14">
        <v>125</v>
      </c>
      <c r="G14">
        <v>305</v>
      </c>
      <c r="H14">
        <v>950</v>
      </c>
      <c r="I14">
        <v>1400000</v>
      </c>
      <c r="J14">
        <v>510000</v>
      </c>
      <c r="K14">
        <v>0.36</v>
      </c>
      <c r="L14" t="s">
        <v>160</v>
      </c>
    </row>
    <row r="15" spans="1:12" x14ac:dyDescent="0.3">
      <c r="A15" t="s">
        <v>207</v>
      </c>
      <c r="B15" t="s">
        <v>35</v>
      </c>
      <c r="C15" t="s">
        <v>165</v>
      </c>
      <c r="D15">
        <v>1100</v>
      </c>
      <c r="E15">
        <v>750</v>
      </c>
      <c r="F15">
        <v>125</v>
      </c>
      <c r="G15">
        <v>305</v>
      </c>
      <c r="H15">
        <v>800</v>
      </c>
      <c r="I15">
        <v>1400000</v>
      </c>
      <c r="J15">
        <v>510000</v>
      </c>
      <c r="K15">
        <v>0.36</v>
      </c>
      <c r="L15" t="s">
        <v>160</v>
      </c>
    </row>
    <row r="16" spans="1:12" x14ac:dyDescent="0.3">
      <c r="A16" t="s">
        <v>207</v>
      </c>
      <c r="B16" t="s">
        <v>36</v>
      </c>
      <c r="C16" t="s">
        <v>165</v>
      </c>
      <c r="D16">
        <v>725</v>
      </c>
      <c r="E16">
        <v>350</v>
      </c>
      <c r="F16">
        <v>125</v>
      </c>
      <c r="G16">
        <v>305</v>
      </c>
      <c r="H16">
        <v>500</v>
      </c>
      <c r="I16">
        <v>1100000</v>
      </c>
      <c r="J16">
        <v>400000</v>
      </c>
      <c r="K16">
        <v>0.36</v>
      </c>
      <c r="L16" t="s">
        <v>160</v>
      </c>
    </row>
    <row r="17" spans="1:12" x14ac:dyDescent="0.3">
      <c r="A17" t="s">
        <v>207</v>
      </c>
      <c r="B17" t="s">
        <v>44</v>
      </c>
      <c r="C17" t="s">
        <v>91</v>
      </c>
      <c r="D17">
        <v>1250</v>
      </c>
      <c r="E17">
        <v>825</v>
      </c>
      <c r="F17">
        <v>125</v>
      </c>
      <c r="G17">
        <v>305</v>
      </c>
      <c r="H17">
        <v>1000</v>
      </c>
      <c r="I17">
        <v>1400000</v>
      </c>
      <c r="J17">
        <v>510000</v>
      </c>
      <c r="K17">
        <v>0.36</v>
      </c>
      <c r="L17" t="s">
        <v>160</v>
      </c>
    </row>
    <row r="18" spans="1:12" x14ac:dyDescent="0.3">
      <c r="A18" t="s">
        <v>207</v>
      </c>
      <c r="B18" t="s">
        <v>35</v>
      </c>
      <c r="C18" t="s">
        <v>91</v>
      </c>
      <c r="D18">
        <v>1000</v>
      </c>
      <c r="E18">
        <v>675</v>
      </c>
      <c r="F18">
        <v>125</v>
      </c>
      <c r="G18">
        <v>305</v>
      </c>
      <c r="H18">
        <v>875</v>
      </c>
      <c r="I18">
        <v>1400000</v>
      </c>
      <c r="J18">
        <v>510000</v>
      </c>
      <c r="K18">
        <v>0.36</v>
      </c>
      <c r="L18" t="s">
        <v>160</v>
      </c>
    </row>
    <row r="19" spans="1:12" x14ac:dyDescent="0.3">
      <c r="A19" s="1" t="s">
        <v>207</v>
      </c>
      <c r="B19" s="1" t="s">
        <v>36</v>
      </c>
      <c r="C19" s="1" t="s">
        <v>91</v>
      </c>
      <c r="D19" s="1">
        <v>575</v>
      </c>
      <c r="E19" s="1">
        <v>375</v>
      </c>
      <c r="F19" s="1">
        <v>125</v>
      </c>
      <c r="G19" s="1">
        <v>305</v>
      </c>
      <c r="H19" s="1">
        <v>400</v>
      </c>
      <c r="I19" s="1">
        <v>1100000</v>
      </c>
      <c r="J19" s="1">
        <v>400000</v>
      </c>
      <c r="K19" s="1">
        <v>0.36</v>
      </c>
      <c r="L19" s="1" t="s">
        <v>160</v>
      </c>
    </row>
    <row r="20" spans="1:12" x14ac:dyDescent="0.3">
      <c r="A20" t="s">
        <v>178</v>
      </c>
      <c r="B20" t="s">
        <v>44</v>
      </c>
      <c r="C20" t="s">
        <v>165</v>
      </c>
      <c r="D20">
        <v>1650</v>
      </c>
      <c r="E20">
        <v>975</v>
      </c>
      <c r="F20">
        <v>180</v>
      </c>
      <c r="G20">
        <v>715</v>
      </c>
      <c r="H20">
        <v>975</v>
      </c>
      <c r="I20">
        <v>1500000</v>
      </c>
      <c r="J20">
        <v>550000</v>
      </c>
      <c r="K20">
        <v>0.71</v>
      </c>
      <c r="L20" t="s">
        <v>160</v>
      </c>
    </row>
    <row r="21" spans="1:12" x14ac:dyDescent="0.3">
      <c r="A21" t="s">
        <v>178</v>
      </c>
      <c r="B21" t="s">
        <v>35</v>
      </c>
      <c r="C21" t="s">
        <v>165</v>
      </c>
      <c r="D21">
        <v>1400</v>
      </c>
      <c r="E21">
        <v>700</v>
      </c>
      <c r="F21">
        <v>180</v>
      </c>
      <c r="G21">
        <v>715</v>
      </c>
      <c r="H21">
        <v>825</v>
      </c>
      <c r="I21">
        <v>1500000</v>
      </c>
      <c r="J21">
        <v>550000</v>
      </c>
      <c r="K21">
        <v>0.71</v>
      </c>
      <c r="L21" t="s">
        <v>160</v>
      </c>
    </row>
    <row r="22" spans="1:12" x14ac:dyDescent="0.3">
      <c r="A22" t="s">
        <v>178</v>
      </c>
      <c r="B22" t="s">
        <v>36</v>
      </c>
      <c r="C22" t="s">
        <v>165</v>
      </c>
      <c r="D22">
        <v>900</v>
      </c>
      <c r="E22">
        <v>450</v>
      </c>
      <c r="F22">
        <v>180</v>
      </c>
      <c r="G22">
        <v>715</v>
      </c>
      <c r="H22">
        <v>525</v>
      </c>
      <c r="I22">
        <v>1200000</v>
      </c>
      <c r="J22">
        <v>440000</v>
      </c>
      <c r="K22">
        <v>0.71</v>
      </c>
      <c r="L22" t="s">
        <v>160</v>
      </c>
    </row>
    <row r="23" spans="1:12" x14ac:dyDescent="0.3">
      <c r="A23" t="s">
        <v>178</v>
      </c>
      <c r="B23" t="s">
        <v>44</v>
      </c>
      <c r="C23" t="s">
        <v>91</v>
      </c>
      <c r="D23">
        <v>1550</v>
      </c>
      <c r="E23">
        <v>1050</v>
      </c>
      <c r="F23">
        <v>180</v>
      </c>
      <c r="G23">
        <v>715</v>
      </c>
      <c r="H23">
        <v>1050</v>
      </c>
      <c r="I23">
        <v>1500000</v>
      </c>
      <c r="J23">
        <v>550000</v>
      </c>
      <c r="K23">
        <v>0.71</v>
      </c>
      <c r="L23" t="s">
        <v>160</v>
      </c>
    </row>
    <row r="24" spans="1:12" x14ac:dyDescent="0.3">
      <c r="A24" t="s">
        <v>178</v>
      </c>
      <c r="B24" t="s">
        <v>35</v>
      </c>
      <c r="C24" t="s">
        <v>91</v>
      </c>
      <c r="D24">
        <v>1250</v>
      </c>
      <c r="E24">
        <v>850</v>
      </c>
      <c r="F24">
        <v>180</v>
      </c>
      <c r="G24">
        <v>715</v>
      </c>
      <c r="H24">
        <v>900</v>
      </c>
      <c r="I24">
        <v>1500000</v>
      </c>
      <c r="J24">
        <v>550000</v>
      </c>
      <c r="K24">
        <v>0.71</v>
      </c>
      <c r="L24" t="s">
        <v>160</v>
      </c>
    </row>
    <row r="25" spans="1:12" x14ac:dyDescent="0.3">
      <c r="A25" s="1" t="s">
        <v>178</v>
      </c>
      <c r="B25" s="1" t="s">
        <v>36</v>
      </c>
      <c r="C25" s="1" t="s">
        <v>91</v>
      </c>
      <c r="D25" s="1">
        <v>725</v>
      </c>
      <c r="E25" s="1">
        <v>475</v>
      </c>
      <c r="F25" s="1">
        <v>180</v>
      </c>
      <c r="G25" s="1">
        <v>715</v>
      </c>
      <c r="H25" s="1">
        <v>425</v>
      </c>
      <c r="I25" s="1">
        <v>1200000</v>
      </c>
      <c r="J25" s="1">
        <v>440000</v>
      </c>
      <c r="K25" s="1">
        <v>0.71</v>
      </c>
      <c r="L25" s="1" t="s">
        <v>160</v>
      </c>
    </row>
    <row r="26" spans="1:12" x14ac:dyDescent="0.3">
      <c r="A26" t="s">
        <v>179</v>
      </c>
      <c r="B26" t="s">
        <v>44</v>
      </c>
      <c r="C26" t="s">
        <v>165</v>
      </c>
      <c r="D26">
        <v>1150</v>
      </c>
      <c r="E26">
        <v>675</v>
      </c>
      <c r="F26">
        <v>115</v>
      </c>
      <c r="G26">
        <v>455</v>
      </c>
      <c r="H26">
        <v>775</v>
      </c>
      <c r="I26">
        <v>1500000</v>
      </c>
      <c r="J26">
        <v>550000</v>
      </c>
      <c r="K26">
        <v>0.43</v>
      </c>
      <c r="L26" t="s">
        <v>161</v>
      </c>
    </row>
    <row r="27" spans="1:12" x14ac:dyDescent="0.3">
      <c r="A27" t="s">
        <v>179</v>
      </c>
      <c r="B27" t="s">
        <v>35</v>
      </c>
      <c r="C27" t="s">
        <v>165</v>
      </c>
      <c r="D27">
        <v>950</v>
      </c>
      <c r="E27">
        <v>475</v>
      </c>
      <c r="F27">
        <v>115</v>
      </c>
      <c r="G27">
        <v>455</v>
      </c>
      <c r="H27">
        <v>650</v>
      </c>
      <c r="I27">
        <v>1500000</v>
      </c>
      <c r="J27">
        <v>550000</v>
      </c>
      <c r="K27">
        <v>0.43</v>
      </c>
      <c r="L27" t="s">
        <v>161</v>
      </c>
    </row>
    <row r="28" spans="1:12" x14ac:dyDescent="0.3">
      <c r="A28" t="s">
        <v>179</v>
      </c>
      <c r="B28" t="s">
        <v>36</v>
      </c>
      <c r="C28" t="s">
        <v>165</v>
      </c>
      <c r="D28">
        <v>625</v>
      </c>
      <c r="E28">
        <v>325</v>
      </c>
      <c r="F28">
        <v>115</v>
      </c>
      <c r="G28">
        <v>455</v>
      </c>
      <c r="H28">
        <v>425</v>
      </c>
      <c r="I28">
        <v>1200000</v>
      </c>
      <c r="J28">
        <v>440000</v>
      </c>
      <c r="K28">
        <v>0.43</v>
      </c>
      <c r="L28" t="s">
        <v>161</v>
      </c>
    </row>
    <row r="29" spans="1:12" x14ac:dyDescent="0.3">
      <c r="A29" t="s">
        <v>179</v>
      </c>
      <c r="B29" t="s">
        <v>44</v>
      </c>
      <c r="C29" t="s">
        <v>91</v>
      </c>
      <c r="D29">
        <v>1100</v>
      </c>
      <c r="E29">
        <v>725</v>
      </c>
      <c r="F29">
        <v>115</v>
      </c>
      <c r="G29">
        <v>455</v>
      </c>
      <c r="H29">
        <v>825</v>
      </c>
      <c r="I29">
        <v>1500000</v>
      </c>
      <c r="J29">
        <v>550000</v>
      </c>
      <c r="K29">
        <v>0.43</v>
      </c>
      <c r="L29" t="s">
        <v>161</v>
      </c>
    </row>
    <row r="30" spans="1:12" x14ac:dyDescent="0.3">
      <c r="A30" t="s">
        <v>179</v>
      </c>
      <c r="B30" t="s">
        <v>35</v>
      </c>
      <c r="C30" t="s">
        <v>91</v>
      </c>
      <c r="D30">
        <v>875</v>
      </c>
      <c r="E30">
        <v>575</v>
      </c>
      <c r="F30">
        <v>115</v>
      </c>
      <c r="G30">
        <v>455</v>
      </c>
      <c r="H30">
        <v>725</v>
      </c>
      <c r="I30">
        <v>1500000</v>
      </c>
      <c r="J30">
        <v>550000</v>
      </c>
      <c r="K30">
        <v>0.43</v>
      </c>
      <c r="L30" t="s">
        <v>161</v>
      </c>
    </row>
    <row r="31" spans="1:12" x14ac:dyDescent="0.3">
      <c r="A31" s="1" t="s">
        <v>179</v>
      </c>
      <c r="B31" s="1" t="s">
        <v>36</v>
      </c>
      <c r="C31" s="1" t="s">
        <v>91</v>
      </c>
      <c r="D31" s="1">
        <v>525</v>
      </c>
      <c r="E31" s="1">
        <v>350</v>
      </c>
      <c r="F31" s="1">
        <v>115</v>
      </c>
      <c r="G31" s="1">
        <v>455</v>
      </c>
      <c r="H31" s="1">
        <v>500</v>
      </c>
      <c r="I31" s="1">
        <v>1200000</v>
      </c>
      <c r="J31" s="1">
        <v>440000</v>
      </c>
      <c r="K31" s="1">
        <v>0.43</v>
      </c>
      <c r="L31" s="1" t="s">
        <v>161</v>
      </c>
    </row>
    <row r="32" spans="1:12" x14ac:dyDescent="0.3">
      <c r="A32" t="s">
        <v>181</v>
      </c>
      <c r="B32" t="s">
        <v>166</v>
      </c>
      <c r="C32" t="s">
        <v>165</v>
      </c>
      <c r="D32">
        <v>1900</v>
      </c>
      <c r="E32">
        <v>1100</v>
      </c>
      <c r="F32">
        <v>170</v>
      </c>
      <c r="G32">
        <v>730</v>
      </c>
      <c r="H32">
        <v>1300</v>
      </c>
      <c r="I32">
        <v>1700000</v>
      </c>
      <c r="J32">
        <v>620000</v>
      </c>
      <c r="K32">
        <v>0.5</v>
      </c>
      <c r="L32" t="s">
        <v>155</v>
      </c>
    </row>
    <row r="33" spans="1:12" x14ac:dyDescent="0.3">
      <c r="A33" t="s">
        <v>181</v>
      </c>
      <c r="B33" t="s">
        <v>44</v>
      </c>
      <c r="C33" t="s">
        <v>165</v>
      </c>
      <c r="D33">
        <v>1600</v>
      </c>
      <c r="E33">
        <v>950</v>
      </c>
      <c r="F33">
        <v>170</v>
      </c>
      <c r="G33">
        <v>625</v>
      </c>
      <c r="H33">
        <v>1100</v>
      </c>
      <c r="I33">
        <v>1600000</v>
      </c>
      <c r="J33">
        <v>580000</v>
      </c>
      <c r="K33">
        <v>0.5</v>
      </c>
      <c r="L33" t="s">
        <v>155</v>
      </c>
    </row>
    <row r="34" spans="1:12" x14ac:dyDescent="0.3">
      <c r="A34" t="s">
        <v>181</v>
      </c>
      <c r="B34" t="s">
        <v>167</v>
      </c>
      <c r="C34" t="s">
        <v>165</v>
      </c>
      <c r="D34">
        <v>1550</v>
      </c>
      <c r="E34">
        <v>775</v>
      </c>
      <c r="F34">
        <v>170</v>
      </c>
      <c r="G34">
        <v>730</v>
      </c>
      <c r="H34">
        <v>1100</v>
      </c>
      <c r="I34">
        <v>1700000</v>
      </c>
      <c r="J34">
        <v>620000</v>
      </c>
      <c r="K34">
        <v>0.5</v>
      </c>
      <c r="L34" t="s">
        <v>155</v>
      </c>
    </row>
    <row r="35" spans="1:12" x14ac:dyDescent="0.3">
      <c r="A35" t="s">
        <v>181</v>
      </c>
      <c r="B35" t="s">
        <v>35</v>
      </c>
      <c r="C35" t="s">
        <v>165</v>
      </c>
      <c r="D35">
        <v>1350</v>
      </c>
      <c r="E35">
        <v>675</v>
      </c>
      <c r="F35">
        <v>170</v>
      </c>
      <c r="G35">
        <v>625</v>
      </c>
      <c r="H35">
        <v>925</v>
      </c>
      <c r="I35">
        <v>1600000</v>
      </c>
      <c r="J35">
        <v>580000</v>
      </c>
      <c r="K35">
        <v>0.5</v>
      </c>
      <c r="L35" t="s">
        <v>155</v>
      </c>
    </row>
    <row r="36" spans="1:12" x14ac:dyDescent="0.3">
      <c r="A36" t="s">
        <v>181</v>
      </c>
      <c r="B36" t="s">
        <v>36</v>
      </c>
      <c r="C36" t="s">
        <v>165</v>
      </c>
      <c r="D36">
        <v>875</v>
      </c>
      <c r="E36">
        <v>425</v>
      </c>
      <c r="F36">
        <v>170</v>
      </c>
      <c r="G36">
        <v>625</v>
      </c>
      <c r="H36">
        <v>600</v>
      </c>
      <c r="I36">
        <v>1300000</v>
      </c>
      <c r="J36">
        <v>470000</v>
      </c>
      <c r="K36">
        <v>0.5</v>
      </c>
      <c r="L36" t="s">
        <v>155</v>
      </c>
    </row>
    <row r="37" spans="1:12" x14ac:dyDescent="0.3">
      <c r="A37" t="s">
        <v>181</v>
      </c>
      <c r="B37" t="s">
        <v>166</v>
      </c>
      <c r="C37" t="s">
        <v>91</v>
      </c>
      <c r="D37">
        <v>1750</v>
      </c>
      <c r="E37">
        <v>1150</v>
      </c>
      <c r="F37">
        <v>170</v>
      </c>
      <c r="G37">
        <v>730</v>
      </c>
      <c r="H37">
        <v>1350</v>
      </c>
      <c r="I37">
        <v>1700000</v>
      </c>
      <c r="J37">
        <v>620000</v>
      </c>
      <c r="K37">
        <v>0.5</v>
      </c>
      <c r="L37" t="s">
        <v>155</v>
      </c>
    </row>
    <row r="38" spans="1:12" x14ac:dyDescent="0.3">
      <c r="A38" t="s">
        <v>181</v>
      </c>
      <c r="B38" t="s">
        <v>44</v>
      </c>
      <c r="C38" t="s">
        <v>91</v>
      </c>
      <c r="D38">
        <v>1500</v>
      </c>
      <c r="E38">
        <v>1000</v>
      </c>
      <c r="F38">
        <v>170</v>
      </c>
      <c r="G38">
        <v>625</v>
      </c>
      <c r="H38">
        <v>1150</v>
      </c>
      <c r="I38">
        <v>1600000</v>
      </c>
      <c r="J38">
        <v>580000</v>
      </c>
      <c r="K38">
        <v>0.5</v>
      </c>
      <c r="L38" t="s">
        <v>155</v>
      </c>
    </row>
    <row r="39" spans="1:12" x14ac:dyDescent="0.3">
      <c r="A39" t="s">
        <v>181</v>
      </c>
      <c r="B39" t="s">
        <v>167</v>
      </c>
      <c r="C39" t="s">
        <v>91</v>
      </c>
      <c r="D39">
        <v>1400</v>
      </c>
      <c r="E39">
        <v>950</v>
      </c>
      <c r="F39">
        <v>170</v>
      </c>
      <c r="G39">
        <v>730</v>
      </c>
      <c r="H39">
        <v>1200</v>
      </c>
      <c r="I39">
        <v>1700000</v>
      </c>
      <c r="J39">
        <v>620000</v>
      </c>
      <c r="K39">
        <v>0.5</v>
      </c>
      <c r="L39" t="s">
        <v>155</v>
      </c>
    </row>
    <row r="40" spans="1:12" x14ac:dyDescent="0.3">
      <c r="A40" t="s">
        <v>181</v>
      </c>
      <c r="B40" t="s">
        <v>35</v>
      </c>
      <c r="C40" t="s">
        <v>91</v>
      </c>
      <c r="D40">
        <v>1200</v>
      </c>
      <c r="E40">
        <v>825</v>
      </c>
      <c r="F40">
        <v>170</v>
      </c>
      <c r="G40">
        <v>625</v>
      </c>
      <c r="H40">
        <v>1000</v>
      </c>
      <c r="I40">
        <v>1600000</v>
      </c>
      <c r="J40">
        <v>580000</v>
      </c>
      <c r="K40">
        <v>0.5</v>
      </c>
      <c r="L40" t="s">
        <v>155</v>
      </c>
    </row>
    <row r="41" spans="1:12" x14ac:dyDescent="0.3">
      <c r="A41" t="s">
        <v>181</v>
      </c>
      <c r="B41" t="s">
        <v>36</v>
      </c>
      <c r="C41" t="s">
        <v>91</v>
      </c>
      <c r="D41">
        <v>750</v>
      </c>
      <c r="E41">
        <v>475</v>
      </c>
      <c r="F41">
        <v>170</v>
      </c>
      <c r="G41">
        <v>625</v>
      </c>
      <c r="H41">
        <v>700</v>
      </c>
      <c r="I41">
        <v>1300000</v>
      </c>
      <c r="J41">
        <v>470000</v>
      </c>
      <c r="K41">
        <v>0.5</v>
      </c>
      <c r="L41" t="s">
        <v>155</v>
      </c>
    </row>
    <row r="42" spans="1:12" x14ac:dyDescent="0.3">
      <c r="A42" t="s">
        <v>181</v>
      </c>
      <c r="B42" t="s">
        <v>166</v>
      </c>
      <c r="C42" t="s">
        <v>165</v>
      </c>
      <c r="D42">
        <v>1900</v>
      </c>
      <c r="E42">
        <v>1100</v>
      </c>
      <c r="F42">
        <v>170</v>
      </c>
      <c r="G42">
        <v>730</v>
      </c>
      <c r="H42">
        <v>1300</v>
      </c>
      <c r="I42">
        <v>1700000</v>
      </c>
      <c r="J42">
        <v>620000</v>
      </c>
      <c r="K42">
        <v>0.5</v>
      </c>
      <c r="L42" t="s">
        <v>156</v>
      </c>
    </row>
    <row r="43" spans="1:12" x14ac:dyDescent="0.3">
      <c r="A43" t="s">
        <v>181</v>
      </c>
      <c r="B43" t="s">
        <v>44</v>
      </c>
      <c r="C43" t="s">
        <v>165</v>
      </c>
      <c r="D43">
        <v>1600</v>
      </c>
      <c r="E43">
        <v>950</v>
      </c>
      <c r="F43">
        <v>170</v>
      </c>
      <c r="G43">
        <v>625</v>
      </c>
      <c r="H43">
        <v>1100</v>
      </c>
      <c r="I43">
        <v>1600000</v>
      </c>
      <c r="J43">
        <v>580000</v>
      </c>
      <c r="K43">
        <v>0.5</v>
      </c>
      <c r="L43" t="s">
        <v>156</v>
      </c>
    </row>
    <row r="44" spans="1:12" x14ac:dyDescent="0.3">
      <c r="A44" t="s">
        <v>181</v>
      </c>
      <c r="B44" t="s">
        <v>167</v>
      </c>
      <c r="C44" t="s">
        <v>165</v>
      </c>
      <c r="D44">
        <v>1550</v>
      </c>
      <c r="E44">
        <v>775</v>
      </c>
      <c r="F44">
        <v>170</v>
      </c>
      <c r="G44">
        <v>730</v>
      </c>
      <c r="H44">
        <v>1100</v>
      </c>
      <c r="I44">
        <v>1700000</v>
      </c>
      <c r="J44">
        <v>620000</v>
      </c>
      <c r="K44">
        <v>0.5</v>
      </c>
      <c r="L44" t="s">
        <v>156</v>
      </c>
    </row>
    <row r="45" spans="1:12" x14ac:dyDescent="0.3">
      <c r="A45" t="s">
        <v>181</v>
      </c>
      <c r="B45" t="s">
        <v>35</v>
      </c>
      <c r="C45" t="s">
        <v>165</v>
      </c>
      <c r="D45">
        <v>1350</v>
      </c>
      <c r="E45">
        <v>675</v>
      </c>
      <c r="F45">
        <v>170</v>
      </c>
      <c r="G45">
        <v>625</v>
      </c>
      <c r="H45">
        <v>925</v>
      </c>
      <c r="I45">
        <v>1600000</v>
      </c>
      <c r="J45">
        <v>580000</v>
      </c>
      <c r="K45">
        <v>0.5</v>
      </c>
      <c r="L45" t="s">
        <v>156</v>
      </c>
    </row>
    <row r="46" spans="1:12" x14ac:dyDescent="0.3">
      <c r="A46" t="s">
        <v>181</v>
      </c>
      <c r="B46" t="s">
        <v>168</v>
      </c>
      <c r="C46" t="s">
        <v>165</v>
      </c>
      <c r="D46">
        <v>1000</v>
      </c>
      <c r="E46">
        <v>500</v>
      </c>
      <c r="F46">
        <v>170</v>
      </c>
      <c r="G46">
        <v>730</v>
      </c>
      <c r="H46">
        <v>700</v>
      </c>
      <c r="I46">
        <v>1400000</v>
      </c>
      <c r="J46">
        <v>510000</v>
      </c>
      <c r="K46">
        <v>0.5</v>
      </c>
      <c r="L46" t="s">
        <v>156</v>
      </c>
    </row>
    <row r="47" spans="1:12" x14ac:dyDescent="0.3">
      <c r="A47" t="s">
        <v>181</v>
      </c>
      <c r="B47" t="s">
        <v>36</v>
      </c>
      <c r="C47" t="s">
        <v>165</v>
      </c>
      <c r="D47">
        <v>875</v>
      </c>
      <c r="E47">
        <v>425</v>
      </c>
      <c r="F47">
        <v>170</v>
      </c>
      <c r="G47">
        <v>625</v>
      </c>
      <c r="H47">
        <v>600</v>
      </c>
      <c r="I47">
        <v>1300000</v>
      </c>
      <c r="J47">
        <v>470000</v>
      </c>
      <c r="K47">
        <v>0.5</v>
      </c>
      <c r="L47" t="s">
        <v>156</v>
      </c>
    </row>
    <row r="48" spans="1:12" x14ac:dyDescent="0.3">
      <c r="A48" t="s">
        <v>181</v>
      </c>
      <c r="B48" t="s">
        <v>166</v>
      </c>
      <c r="C48" t="s">
        <v>91</v>
      </c>
      <c r="D48">
        <v>1750</v>
      </c>
      <c r="E48">
        <v>1150</v>
      </c>
      <c r="F48">
        <v>170</v>
      </c>
      <c r="G48">
        <v>730</v>
      </c>
      <c r="H48">
        <v>1350</v>
      </c>
      <c r="I48">
        <v>1700000</v>
      </c>
      <c r="J48">
        <v>620000</v>
      </c>
      <c r="K48">
        <v>0.5</v>
      </c>
      <c r="L48" t="s">
        <v>156</v>
      </c>
    </row>
    <row r="49" spans="1:12" x14ac:dyDescent="0.3">
      <c r="A49" t="s">
        <v>181</v>
      </c>
      <c r="B49" t="s">
        <v>44</v>
      </c>
      <c r="C49" t="s">
        <v>91</v>
      </c>
      <c r="D49">
        <v>1500</v>
      </c>
      <c r="E49">
        <v>1000</v>
      </c>
      <c r="F49">
        <v>170</v>
      </c>
      <c r="G49">
        <v>625</v>
      </c>
      <c r="H49">
        <v>1150</v>
      </c>
      <c r="I49">
        <v>1600000</v>
      </c>
      <c r="J49">
        <v>580000</v>
      </c>
      <c r="K49">
        <v>0.5</v>
      </c>
      <c r="L49" t="s">
        <v>156</v>
      </c>
    </row>
    <row r="50" spans="1:12" x14ac:dyDescent="0.3">
      <c r="A50" t="s">
        <v>181</v>
      </c>
      <c r="B50" t="s">
        <v>167</v>
      </c>
      <c r="C50" t="s">
        <v>91</v>
      </c>
      <c r="D50">
        <v>1400</v>
      </c>
      <c r="E50">
        <v>950</v>
      </c>
      <c r="F50">
        <v>170</v>
      </c>
      <c r="G50">
        <v>730</v>
      </c>
      <c r="H50">
        <v>1200</v>
      </c>
      <c r="I50">
        <v>1700000</v>
      </c>
      <c r="J50">
        <v>620000</v>
      </c>
      <c r="K50">
        <v>0.5</v>
      </c>
      <c r="L50" t="s">
        <v>156</v>
      </c>
    </row>
    <row r="51" spans="1:12" x14ac:dyDescent="0.3">
      <c r="A51" t="s">
        <v>181</v>
      </c>
      <c r="B51" t="s">
        <v>35</v>
      </c>
      <c r="C51" t="s">
        <v>91</v>
      </c>
      <c r="D51">
        <v>1200</v>
      </c>
      <c r="E51">
        <v>825</v>
      </c>
      <c r="F51">
        <v>170</v>
      </c>
      <c r="G51">
        <v>625</v>
      </c>
      <c r="H51">
        <v>1000</v>
      </c>
      <c r="I51">
        <v>1600000</v>
      </c>
      <c r="J51">
        <v>580000</v>
      </c>
      <c r="K51">
        <v>0.5</v>
      </c>
      <c r="L51" t="s">
        <v>156</v>
      </c>
    </row>
    <row r="52" spans="1:12" x14ac:dyDescent="0.3">
      <c r="A52" t="s">
        <v>181</v>
      </c>
      <c r="B52" t="s">
        <v>168</v>
      </c>
      <c r="C52" t="s">
        <v>91</v>
      </c>
      <c r="D52">
        <v>850</v>
      </c>
      <c r="E52">
        <v>550</v>
      </c>
      <c r="F52">
        <v>170</v>
      </c>
      <c r="G52">
        <v>730</v>
      </c>
      <c r="H52">
        <v>825</v>
      </c>
      <c r="I52">
        <v>1400000</v>
      </c>
      <c r="J52">
        <v>510000</v>
      </c>
      <c r="K52">
        <v>0.5</v>
      </c>
      <c r="L52" t="s">
        <v>156</v>
      </c>
    </row>
    <row r="53" spans="1:12" x14ac:dyDescent="0.3">
      <c r="A53" s="1" t="s">
        <v>181</v>
      </c>
      <c r="B53" s="1" t="s">
        <v>36</v>
      </c>
      <c r="C53" s="1" t="s">
        <v>91</v>
      </c>
      <c r="D53" s="1">
        <v>750</v>
      </c>
      <c r="E53" s="1">
        <v>475</v>
      </c>
      <c r="F53" s="1">
        <v>170</v>
      </c>
      <c r="G53" s="1">
        <v>625</v>
      </c>
      <c r="H53" s="1">
        <v>700</v>
      </c>
      <c r="I53" s="1">
        <v>1300000</v>
      </c>
      <c r="J53" s="1">
        <v>470000</v>
      </c>
      <c r="K53" s="1">
        <v>0.5</v>
      </c>
      <c r="L53" s="1" t="s">
        <v>156</v>
      </c>
    </row>
    <row r="54" spans="1:12" x14ac:dyDescent="0.3">
      <c r="A54" t="s">
        <v>182</v>
      </c>
      <c r="B54" t="s">
        <v>44</v>
      </c>
      <c r="C54" t="s">
        <v>165</v>
      </c>
      <c r="D54">
        <v>1600</v>
      </c>
      <c r="E54">
        <v>950</v>
      </c>
      <c r="F54">
        <v>170</v>
      </c>
      <c r="G54">
        <v>625</v>
      </c>
      <c r="H54">
        <v>1100</v>
      </c>
      <c r="I54">
        <v>1600000</v>
      </c>
      <c r="J54">
        <v>580000</v>
      </c>
      <c r="K54">
        <v>0.49</v>
      </c>
      <c r="L54" t="s">
        <v>161</v>
      </c>
    </row>
    <row r="55" spans="1:12" x14ac:dyDescent="0.3">
      <c r="A55" t="s">
        <v>182</v>
      </c>
      <c r="B55" t="s">
        <v>35</v>
      </c>
      <c r="C55" t="s">
        <v>165</v>
      </c>
      <c r="D55">
        <v>1300</v>
      </c>
      <c r="E55">
        <v>675</v>
      </c>
      <c r="F55">
        <v>170</v>
      </c>
      <c r="G55">
        <v>625</v>
      </c>
      <c r="H55">
        <v>925</v>
      </c>
      <c r="I55">
        <v>1600000</v>
      </c>
      <c r="J55">
        <v>580000</v>
      </c>
      <c r="K55">
        <v>0.49</v>
      </c>
      <c r="L55" t="s">
        <v>161</v>
      </c>
    </row>
    <row r="56" spans="1:12" x14ac:dyDescent="0.3">
      <c r="A56" t="s">
        <v>182</v>
      </c>
      <c r="B56" t="s">
        <v>36</v>
      </c>
      <c r="C56" t="s">
        <v>165</v>
      </c>
      <c r="D56">
        <v>875</v>
      </c>
      <c r="E56">
        <v>425</v>
      </c>
      <c r="F56">
        <v>170</v>
      </c>
      <c r="G56">
        <v>625</v>
      </c>
      <c r="H56">
        <v>600</v>
      </c>
      <c r="I56">
        <v>1300000</v>
      </c>
      <c r="J56">
        <v>470000</v>
      </c>
      <c r="K56">
        <v>0.49</v>
      </c>
      <c r="L56" t="s">
        <v>161</v>
      </c>
    </row>
    <row r="57" spans="1:12" x14ac:dyDescent="0.3">
      <c r="A57" t="s">
        <v>182</v>
      </c>
      <c r="B57" t="s">
        <v>44</v>
      </c>
      <c r="C57" t="s">
        <v>91</v>
      </c>
      <c r="D57">
        <v>1500</v>
      </c>
      <c r="E57">
        <v>1000</v>
      </c>
      <c r="F57">
        <v>170</v>
      </c>
      <c r="G57">
        <v>625</v>
      </c>
      <c r="H57">
        <v>1150</v>
      </c>
      <c r="I57">
        <v>1600000</v>
      </c>
      <c r="J57">
        <v>580000</v>
      </c>
      <c r="K57">
        <v>0.49</v>
      </c>
      <c r="L57" t="s">
        <v>161</v>
      </c>
    </row>
    <row r="58" spans="1:12" x14ac:dyDescent="0.3">
      <c r="A58" t="s">
        <v>182</v>
      </c>
      <c r="B58" t="s">
        <v>35</v>
      </c>
      <c r="C58" t="s">
        <v>91</v>
      </c>
      <c r="D58">
        <v>1200</v>
      </c>
      <c r="E58">
        <v>825</v>
      </c>
      <c r="F58">
        <v>170</v>
      </c>
      <c r="G58">
        <v>625</v>
      </c>
      <c r="H58">
        <v>1000</v>
      </c>
      <c r="I58">
        <v>1600000</v>
      </c>
      <c r="J58">
        <v>580000</v>
      </c>
      <c r="K58">
        <v>0.49</v>
      </c>
      <c r="L58" t="s">
        <v>161</v>
      </c>
    </row>
    <row r="59" spans="1:12" x14ac:dyDescent="0.3">
      <c r="A59" s="1" t="s">
        <v>182</v>
      </c>
      <c r="B59" s="1" t="s">
        <v>36</v>
      </c>
      <c r="C59" s="1" t="s">
        <v>91</v>
      </c>
      <c r="D59" s="1">
        <v>725</v>
      </c>
      <c r="E59" s="1">
        <v>475</v>
      </c>
      <c r="F59" s="1">
        <v>170</v>
      </c>
      <c r="G59" s="1">
        <v>625</v>
      </c>
      <c r="H59" s="1">
        <v>700</v>
      </c>
      <c r="I59" s="1">
        <v>1300000</v>
      </c>
      <c r="J59" s="1">
        <v>470000</v>
      </c>
      <c r="K59" s="1">
        <v>0.49</v>
      </c>
      <c r="L59" s="1" t="s">
        <v>161</v>
      </c>
    </row>
    <row r="60" spans="1:12" x14ac:dyDescent="0.3">
      <c r="A60" t="s">
        <v>208</v>
      </c>
      <c r="B60" t="s">
        <v>44</v>
      </c>
      <c r="C60" t="s">
        <v>165</v>
      </c>
      <c r="D60">
        <v>1550</v>
      </c>
      <c r="E60">
        <v>900</v>
      </c>
      <c r="F60">
        <v>165</v>
      </c>
      <c r="G60">
        <v>520</v>
      </c>
      <c r="H60">
        <v>1000</v>
      </c>
      <c r="I60">
        <v>1200000</v>
      </c>
      <c r="J60">
        <v>440000</v>
      </c>
      <c r="K60">
        <v>0.46</v>
      </c>
      <c r="L60" t="s">
        <v>156</v>
      </c>
    </row>
    <row r="61" spans="1:12" x14ac:dyDescent="0.3">
      <c r="A61" t="s">
        <v>208</v>
      </c>
      <c r="B61" t="s">
        <v>35</v>
      </c>
      <c r="C61" t="s">
        <v>165</v>
      </c>
      <c r="D61">
        <v>1300</v>
      </c>
      <c r="E61">
        <v>625</v>
      </c>
      <c r="F61">
        <v>165</v>
      </c>
      <c r="G61">
        <v>520</v>
      </c>
      <c r="H61">
        <v>850</v>
      </c>
      <c r="I61">
        <v>1200000</v>
      </c>
      <c r="J61">
        <v>440000</v>
      </c>
      <c r="K61">
        <v>0.46</v>
      </c>
      <c r="L61" t="s">
        <v>156</v>
      </c>
    </row>
    <row r="62" spans="1:12" x14ac:dyDescent="0.3">
      <c r="A62" t="s">
        <v>208</v>
      </c>
      <c r="B62" t="s">
        <v>36</v>
      </c>
      <c r="C62" t="s">
        <v>165</v>
      </c>
      <c r="D62">
        <v>825</v>
      </c>
      <c r="E62">
        <v>425</v>
      </c>
      <c r="F62">
        <v>165</v>
      </c>
      <c r="G62">
        <v>520</v>
      </c>
      <c r="H62">
        <v>550</v>
      </c>
      <c r="I62">
        <v>1000000</v>
      </c>
      <c r="J62">
        <v>370000</v>
      </c>
      <c r="K62">
        <v>0.46</v>
      </c>
      <c r="L62" t="s">
        <v>156</v>
      </c>
    </row>
    <row r="63" spans="1:12" x14ac:dyDescent="0.3">
      <c r="A63" t="s">
        <v>208</v>
      </c>
      <c r="B63" t="s">
        <v>44</v>
      </c>
      <c r="C63" t="s">
        <v>91</v>
      </c>
      <c r="D63">
        <v>1450</v>
      </c>
      <c r="E63">
        <v>950</v>
      </c>
      <c r="F63">
        <v>165</v>
      </c>
      <c r="G63">
        <v>520</v>
      </c>
      <c r="H63">
        <v>1050</v>
      </c>
      <c r="I63">
        <v>1200000</v>
      </c>
      <c r="J63">
        <v>440000</v>
      </c>
      <c r="K63">
        <v>0.46</v>
      </c>
      <c r="L63" t="s">
        <v>156</v>
      </c>
    </row>
    <row r="64" spans="1:12" x14ac:dyDescent="0.3">
      <c r="A64" t="s">
        <v>208</v>
      </c>
      <c r="B64" t="s">
        <v>35</v>
      </c>
      <c r="C64" t="s">
        <v>91</v>
      </c>
      <c r="D64">
        <v>1150</v>
      </c>
      <c r="E64">
        <v>775</v>
      </c>
      <c r="F64">
        <v>165</v>
      </c>
      <c r="G64">
        <v>520</v>
      </c>
      <c r="H64">
        <v>925</v>
      </c>
      <c r="I64">
        <v>1200000</v>
      </c>
      <c r="J64">
        <v>440000</v>
      </c>
      <c r="K64">
        <v>0.46</v>
      </c>
      <c r="L64" t="s">
        <v>156</v>
      </c>
    </row>
    <row r="65" spans="1:12" x14ac:dyDescent="0.3">
      <c r="A65" s="1" t="s">
        <v>208</v>
      </c>
      <c r="B65" s="1" t="s">
        <v>36</v>
      </c>
      <c r="C65" s="1" t="s">
        <v>91</v>
      </c>
      <c r="D65" s="1">
        <v>675</v>
      </c>
      <c r="E65" s="1">
        <v>450</v>
      </c>
      <c r="F65" s="1">
        <v>165</v>
      </c>
      <c r="G65" s="1">
        <v>520</v>
      </c>
      <c r="H65" s="1">
        <v>650</v>
      </c>
      <c r="I65" s="1">
        <v>1000000</v>
      </c>
      <c r="J65" s="1">
        <v>370000</v>
      </c>
      <c r="K65" s="1">
        <v>0.46</v>
      </c>
      <c r="L65" s="1" t="s">
        <v>156</v>
      </c>
    </row>
    <row r="66" spans="1:12" x14ac:dyDescent="0.3">
      <c r="A66" t="s">
        <v>209</v>
      </c>
      <c r="B66" t="s">
        <v>44</v>
      </c>
      <c r="C66" t="s">
        <v>165</v>
      </c>
      <c r="D66">
        <v>1350</v>
      </c>
      <c r="E66">
        <v>925</v>
      </c>
      <c r="F66">
        <v>155</v>
      </c>
      <c r="G66">
        <v>550</v>
      </c>
      <c r="H66">
        <v>950</v>
      </c>
      <c r="I66">
        <v>1200000</v>
      </c>
      <c r="J66">
        <v>440000</v>
      </c>
      <c r="K66">
        <v>0.41</v>
      </c>
      <c r="L66" t="s">
        <v>160</v>
      </c>
    </row>
    <row r="67" spans="1:12" x14ac:dyDescent="0.3">
      <c r="A67" t="s">
        <v>209</v>
      </c>
      <c r="B67" t="s">
        <v>35</v>
      </c>
      <c r="C67" t="s">
        <v>165</v>
      </c>
      <c r="D67">
        <v>1150</v>
      </c>
      <c r="E67">
        <v>775</v>
      </c>
      <c r="F67">
        <v>155</v>
      </c>
      <c r="G67">
        <v>550</v>
      </c>
      <c r="H67">
        <v>800</v>
      </c>
      <c r="I67">
        <v>1200000</v>
      </c>
      <c r="J67">
        <v>440000</v>
      </c>
      <c r="K67">
        <v>0.41</v>
      </c>
      <c r="L67" t="s">
        <v>160</v>
      </c>
    </row>
    <row r="68" spans="1:12" x14ac:dyDescent="0.3">
      <c r="A68" t="s">
        <v>209</v>
      </c>
      <c r="B68" t="s">
        <v>36</v>
      </c>
      <c r="C68" t="s">
        <v>165</v>
      </c>
      <c r="D68">
        <v>750</v>
      </c>
      <c r="E68">
        <v>375</v>
      </c>
      <c r="F68">
        <v>155</v>
      </c>
      <c r="G68">
        <v>550</v>
      </c>
      <c r="H68">
        <v>550</v>
      </c>
      <c r="I68">
        <v>900000</v>
      </c>
      <c r="J68">
        <v>330000</v>
      </c>
      <c r="K68">
        <v>0.41</v>
      </c>
      <c r="L68" t="s">
        <v>160</v>
      </c>
    </row>
    <row r="69" spans="1:12" x14ac:dyDescent="0.3">
      <c r="A69" t="s">
        <v>209</v>
      </c>
      <c r="B69" t="s">
        <v>44</v>
      </c>
      <c r="C69" t="s">
        <v>91</v>
      </c>
      <c r="D69">
        <v>1250</v>
      </c>
      <c r="E69">
        <v>850</v>
      </c>
      <c r="F69">
        <v>155</v>
      </c>
      <c r="G69">
        <v>550</v>
      </c>
      <c r="H69">
        <v>1000</v>
      </c>
      <c r="I69">
        <v>1200000</v>
      </c>
      <c r="J69">
        <v>440000</v>
      </c>
      <c r="K69">
        <v>0.41</v>
      </c>
      <c r="L69" t="s">
        <v>160</v>
      </c>
    </row>
    <row r="70" spans="1:12" x14ac:dyDescent="0.3">
      <c r="A70" t="s">
        <v>209</v>
      </c>
      <c r="B70" t="s">
        <v>35</v>
      </c>
      <c r="C70" t="s">
        <v>91</v>
      </c>
      <c r="D70">
        <v>1050</v>
      </c>
      <c r="E70">
        <v>700</v>
      </c>
      <c r="F70">
        <v>155</v>
      </c>
      <c r="G70">
        <v>550</v>
      </c>
      <c r="H70">
        <v>875</v>
      </c>
      <c r="I70">
        <v>1200000</v>
      </c>
      <c r="J70">
        <v>440000</v>
      </c>
      <c r="K70">
        <v>0.41</v>
      </c>
      <c r="L70" t="s">
        <v>160</v>
      </c>
    </row>
    <row r="71" spans="1:12" x14ac:dyDescent="0.3">
      <c r="A71" s="1" t="s">
        <v>209</v>
      </c>
      <c r="B71" s="1" t="s">
        <v>36</v>
      </c>
      <c r="C71" s="1" t="s">
        <v>91</v>
      </c>
      <c r="D71" s="1">
        <v>600</v>
      </c>
      <c r="E71" s="1">
        <v>400</v>
      </c>
      <c r="F71" s="1">
        <v>155</v>
      </c>
      <c r="G71" s="1">
        <v>550</v>
      </c>
      <c r="H71" s="1">
        <v>400</v>
      </c>
      <c r="I71" s="1">
        <v>900000</v>
      </c>
      <c r="J71" s="1">
        <v>330000</v>
      </c>
      <c r="K71" s="1">
        <v>0.41</v>
      </c>
      <c r="L71" s="1" t="s">
        <v>160</v>
      </c>
    </row>
    <row r="72" spans="1:12" x14ac:dyDescent="0.3">
      <c r="A72" t="s">
        <v>185</v>
      </c>
      <c r="B72" t="s">
        <v>44</v>
      </c>
      <c r="C72" t="s">
        <v>165</v>
      </c>
      <c r="D72">
        <v>1400</v>
      </c>
      <c r="E72">
        <v>925</v>
      </c>
      <c r="F72">
        <v>155</v>
      </c>
      <c r="G72">
        <v>555</v>
      </c>
      <c r="H72">
        <v>950</v>
      </c>
      <c r="I72">
        <v>1200000</v>
      </c>
      <c r="J72">
        <v>440000</v>
      </c>
      <c r="K72">
        <v>0.41</v>
      </c>
      <c r="L72" t="s">
        <v>160</v>
      </c>
    </row>
    <row r="73" spans="1:12" x14ac:dyDescent="0.3">
      <c r="A73" t="s">
        <v>185</v>
      </c>
      <c r="B73" t="s">
        <v>35</v>
      </c>
      <c r="C73" t="s">
        <v>165</v>
      </c>
      <c r="D73">
        <v>1150</v>
      </c>
      <c r="E73">
        <v>775</v>
      </c>
      <c r="F73">
        <v>155</v>
      </c>
      <c r="G73">
        <v>555</v>
      </c>
      <c r="H73">
        <v>800</v>
      </c>
      <c r="I73">
        <v>1200000</v>
      </c>
      <c r="J73">
        <v>440000</v>
      </c>
      <c r="K73">
        <v>0.41</v>
      </c>
      <c r="L73" t="s">
        <v>160</v>
      </c>
    </row>
    <row r="74" spans="1:12" x14ac:dyDescent="0.3">
      <c r="A74" t="s">
        <v>185</v>
      </c>
      <c r="B74" t="s">
        <v>36</v>
      </c>
      <c r="C74" t="s">
        <v>165</v>
      </c>
      <c r="D74">
        <v>750</v>
      </c>
      <c r="E74">
        <v>375</v>
      </c>
      <c r="F74">
        <v>155</v>
      </c>
      <c r="G74">
        <v>555</v>
      </c>
      <c r="H74">
        <v>500</v>
      </c>
      <c r="I74">
        <v>900000</v>
      </c>
      <c r="J74">
        <v>330000</v>
      </c>
      <c r="K74">
        <v>0.41</v>
      </c>
      <c r="L74" t="s">
        <v>160</v>
      </c>
    </row>
    <row r="75" spans="1:12" x14ac:dyDescent="0.3">
      <c r="A75" t="s">
        <v>185</v>
      </c>
      <c r="B75" t="s">
        <v>44</v>
      </c>
      <c r="C75" t="s">
        <v>91</v>
      </c>
      <c r="D75">
        <v>1300</v>
      </c>
      <c r="E75">
        <v>875</v>
      </c>
      <c r="F75">
        <v>155</v>
      </c>
      <c r="G75">
        <v>555</v>
      </c>
      <c r="H75">
        <v>1000</v>
      </c>
      <c r="I75">
        <v>1200000</v>
      </c>
      <c r="J75">
        <v>440000</v>
      </c>
      <c r="K75">
        <v>0.41</v>
      </c>
      <c r="L75" t="s">
        <v>160</v>
      </c>
    </row>
    <row r="76" spans="1:12" x14ac:dyDescent="0.3">
      <c r="A76" t="s">
        <v>185</v>
      </c>
      <c r="B76" t="s">
        <v>35</v>
      </c>
      <c r="C76" t="s">
        <v>91</v>
      </c>
      <c r="D76">
        <v>1050</v>
      </c>
      <c r="E76">
        <v>700</v>
      </c>
      <c r="F76">
        <v>155</v>
      </c>
      <c r="G76">
        <v>555</v>
      </c>
      <c r="H76">
        <v>875</v>
      </c>
      <c r="I76">
        <v>1200000</v>
      </c>
      <c r="J76">
        <v>440000</v>
      </c>
      <c r="K76">
        <v>0.41</v>
      </c>
      <c r="L76" t="s">
        <v>160</v>
      </c>
    </row>
    <row r="77" spans="1:12" x14ac:dyDescent="0.3">
      <c r="A77" s="1" t="s">
        <v>185</v>
      </c>
      <c r="B77" s="1" t="s">
        <v>36</v>
      </c>
      <c r="C77" s="1" t="s">
        <v>91</v>
      </c>
      <c r="D77" s="1">
        <v>600</v>
      </c>
      <c r="E77" s="1">
        <v>400</v>
      </c>
      <c r="F77" s="1">
        <v>155</v>
      </c>
      <c r="G77" s="1">
        <v>555</v>
      </c>
      <c r="H77" s="1">
        <v>400</v>
      </c>
      <c r="I77" s="1">
        <v>900000</v>
      </c>
      <c r="J77" s="1">
        <v>330000</v>
      </c>
      <c r="K77" s="1">
        <v>0.41</v>
      </c>
      <c r="L77" s="1" t="s">
        <v>160</v>
      </c>
    </row>
    <row r="78" spans="1:12" x14ac:dyDescent="0.3">
      <c r="A78" s="3" t="s">
        <v>210</v>
      </c>
      <c r="B78" t="s">
        <v>44</v>
      </c>
      <c r="C78" t="s">
        <v>165</v>
      </c>
      <c r="D78">
        <v>1450</v>
      </c>
      <c r="E78">
        <v>850</v>
      </c>
      <c r="F78">
        <v>165</v>
      </c>
      <c r="G78">
        <v>555</v>
      </c>
      <c r="H78">
        <v>950</v>
      </c>
      <c r="I78">
        <v>1300000</v>
      </c>
      <c r="J78">
        <v>470000</v>
      </c>
      <c r="K78">
        <v>0.47</v>
      </c>
      <c r="L78" t="s">
        <v>161</v>
      </c>
    </row>
    <row r="79" spans="1:12" x14ac:dyDescent="0.3">
      <c r="A79" t="s">
        <v>210</v>
      </c>
      <c r="B79" t="s">
        <v>35</v>
      </c>
      <c r="C79" t="s">
        <v>165</v>
      </c>
      <c r="D79">
        <v>1200</v>
      </c>
      <c r="E79">
        <v>600</v>
      </c>
      <c r="F79">
        <v>165</v>
      </c>
      <c r="G79">
        <v>555</v>
      </c>
      <c r="H79">
        <v>800</v>
      </c>
      <c r="I79">
        <v>1300000</v>
      </c>
      <c r="J79">
        <v>470000</v>
      </c>
      <c r="K79">
        <v>0.47</v>
      </c>
      <c r="L79" t="s">
        <v>161</v>
      </c>
    </row>
    <row r="80" spans="1:12" x14ac:dyDescent="0.3">
      <c r="A80" t="s">
        <v>210</v>
      </c>
      <c r="B80" t="s">
        <v>36</v>
      </c>
      <c r="C80" t="s">
        <v>165</v>
      </c>
      <c r="D80">
        <v>775</v>
      </c>
      <c r="E80">
        <v>400</v>
      </c>
      <c r="F80">
        <v>165</v>
      </c>
      <c r="G80">
        <v>555</v>
      </c>
      <c r="H80">
        <v>500</v>
      </c>
      <c r="I80">
        <v>1100000</v>
      </c>
      <c r="J80">
        <v>400000</v>
      </c>
      <c r="K80">
        <v>0.47</v>
      </c>
      <c r="L80" t="s">
        <v>161</v>
      </c>
    </row>
    <row r="81" spans="1:12" x14ac:dyDescent="0.3">
      <c r="A81" t="s">
        <v>210</v>
      </c>
      <c r="B81" t="s">
        <v>44</v>
      </c>
      <c r="C81" t="s">
        <v>91</v>
      </c>
      <c r="D81">
        <v>1350</v>
      </c>
      <c r="E81">
        <v>900</v>
      </c>
      <c r="F81">
        <v>165</v>
      </c>
      <c r="G81">
        <v>555</v>
      </c>
      <c r="H81">
        <v>1000</v>
      </c>
      <c r="I81">
        <v>1300000</v>
      </c>
      <c r="J81">
        <v>470000</v>
      </c>
      <c r="K81">
        <v>0.47</v>
      </c>
      <c r="L81" t="s">
        <v>161</v>
      </c>
    </row>
    <row r="82" spans="1:12" x14ac:dyDescent="0.3">
      <c r="A82" t="s">
        <v>210</v>
      </c>
      <c r="B82" t="s">
        <v>35</v>
      </c>
      <c r="C82" t="s">
        <v>91</v>
      </c>
      <c r="D82">
        <v>1100</v>
      </c>
      <c r="E82">
        <v>725</v>
      </c>
      <c r="F82">
        <v>165</v>
      </c>
      <c r="G82">
        <v>555</v>
      </c>
      <c r="H82">
        <v>875</v>
      </c>
      <c r="I82">
        <v>1300000</v>
      </c>
      <c r="J82">
        <v>470000</v>
      </c>
      <c r="K82">
        <v>0.47</v>
      </c>
      <c r="L82" t="s">
        <v>161</v>
      </c>
    </row>
    <row r="83" spans="1:12" x14ac:dyDescent="0.3">
      <c r="A83" s="1" t="s">
        <v>210</v>
      </c>
      <c r="B83" s="1" t="s">
        <v>36</v>
      </c>
      <c r="C83" s="1" t="s">
        <v>91</v>
      </c>
      <c r="D83" s="1">
        <v>650</v>
      </c>
      <c r="E83" s="1">
        <v>425</v>
      </c>
      <c r="F83" s="1">
        <v>165</v>
      </c>
      <c r="G83" s="1">
        <v>555</v>
      </c>
      <c r="H83" s="1">
        <v>600</v>
      </c>
      <c r="I83" s="1">
        <v>1100000</v>
      </c>
      <c r="J83" s="1">
        <v>400000</v>
      </c>
      <c r="K83" s="1">
        <v>0.47</v>
      </c>
      <c r="L83" s="1" t="s">
        <v>161</v>
      </c>
    </row>
    <row r="84" spans="1:12" x14ac:dyDescent="0.3">
      <c r="A84" t="s">
        <v>211</v>
      </c>
      <c r="B84" t="s">
        <v>44</v>
      </c>
      <c r="C84" t="s">
        <v>165</v>
      </c>
      <c r="D84">
        <v>1050</v>
      </c>
      <c r="E84">
        <v>725</v>
      </c>
      <c r="F84">
        <v>135</v>
      </c>
      <c r="G84">
        <v>390</v>
      </c>
      <c r="H84">
        <v>750</v>
      </c>
      <c r="I84">
        <v>1400000</v>
      </c>
      <c r="J84">
        <v>510000</v>
      </c>
      <c r="K84">
        <v>0.41</v>
      </c>
      <c r="L84" t="s">
        <v>160</v>
      </c>
    </row>
    <row r="85" spans="1:12" x14ac:dyDescent="0.3">
      <c r="A85" t="s">
        <v>211</v>
      </c>
      <c r="B85" t="s">
        <v>35</v>
      </c>
      <c r="C85" t="s">
        <v>165</v>
      </c>
      <c r="D85">
        <v>900</v>
      </c>
      <c r="E85">
        <v>600</v>
      </c>
      <c r="F85">
        <v>135</v>
      </c>
      <c r="G85">
        <v>390</v>
      </c>
      <c r="H85">
        <v>625</v>
      </c>
      <c r="I85">
        <v>1400000</v>
      </c>
      <c r="J85">
        <v>510000</v>
      </c>
      <c r="K85">
        <v>0.41</v>
      </c>
      <c r="L85" t="s">
        <v>160</v>
      </c>
    </row>
    <row r="86" spans="1:12" x14ac:dyDescent="0.3">
      <c r="A86" t="s">
        <v>211</v>
      </c>
      <c r="B86" t="s">
        <v>36</v>
      </c>
      <c r="C86" t="s">
        <v>165</v>
      </c>
      <c r="D86">
        <v>575</v>
      </c>
      <c r="E86">
        <v>275</v>
      </c>
      <c r="F86">
        <v>135</v>
      </c>
      <c r="G86">
        <v>390</v>
      </c>
      <c r="H86">
        <v>375</v>
      </c>
      <c r="I86">
        <v>1000000</v>
      </c>
      <c r="J86">
        <v>370000</v>
      </c>
      <c r="K86">
        <v>0.41</v>
      </c>
      <c r="L86" t="s">
        <v>160</v>
      </c>
    </row>
    <row r="87" spans="1:12" x14ac:dyDescent="0.3">
      <c r="A87" t="s">
        <v>211</v>
      </c>
      <c r="B87" t="s">
        <v>44</v>
      </c>
      <c r="C87" t="s">
        <v>91</v>
      </c>
      <c r="D87">
        <v>1000</v>
      </c>
      <c r="E87">
        <v>675</v>
      </c>
      <c r="F87">
        <v>135</v>
      </c>
      <c r="G87">
        <v>390</v>
      </c>
      <c r="H87">
        <v>775</v>
      </c>
      <c r="I87">
        <v>1400000</v>
      </c>
      <c r="J87">
        <v>510000</v>
      </c>
      <c r="K87">
        <v>0.41</v>
      </c>
      <c r="L87" t="s">
        <v>160</v>
      </c>
    </row>
    <row r="88" spans="1:12" x14ac:dyDescent="0.3">
      <c r="A88" t="s">
        <v>211</v>
      </c>
      <c r="B88" t="s">
        <v>35</v>
      </c>
      <c r="C88" t="s">
        <v>91</v>
      </c>
      <c r="D88">
        <v>800</v>
      </c>
      <c r="E88">
        <v>550</v>
      </c>
      <c r="F88">
        <v>135</v>
      </c>
      <c r="G88">
        <v>390</v>
      </c>
      <c r="H88">
        <v>675</v>
      </c>
      <c r="I88">
        <v>1400000</v>
      </c>
      <c r="J88">
        <v>510000</v>
      </c>
      <c r="K88">
        <v>0.41</v>
      </c>
      <c r="L88" t="s">
        <v>160</v>
      </c>
    </row>
    <row r="89" spans="1:12" x14ac:dyDescent="0.3">
      <c r="A89" s="1" t="s">
        <v>211</v>
      </c>
      <c r="B89" s="1" t="s">
        <v>36</v>
      </c>
      <c r="C89" s="1" t="s">
        <v>91</v>
      </c>
      <c r="D89" s="1">
        <v>450</v>
      </c>
      <c r="E89" s="1">
        <v>300</v>
      </c>
      <c r="F89" s="1">
        <v>135</v>
      </c>
      <c r="G89" s="1">
        <v>390</v>
      </c>
      <c r="H89" s="1">
        <v>300</v>
      </c>
      <c r="I89" s="1">
        <v>1000000</v>
      </c>
      <c r="J89" s="1">
        <v>370000</v>
      </c>
      <c r="K89" s="1">
        <v>0.41</v>
      </c>
      <c r="L89" s="1" t="s">
        <v>160</v>
      </c>
    </row>
    <row r="90" spans="1:12" x14ac:dyDescent="0.3">
      <c r="A90" t="s">
        <v>187</v>
      </c>
      <c r="B90" t="s">
        <v>44</v>
      </c>
      <c r="C90" t="s">
        <v>165</v>
      </c>
      <c r="D90">
        <v>1050</v>
      </c>
      <c r="E90">
        <v>700</v>
      </c>
      <c r="F90">
        <v>125</v>
      </c>
      <c r="G90">
        <v>350</v>
      </c>
      <c r="H90">
        <v>675</v>
      </c>
      <c r="I90">
        <v>1100000</v>
      </c>
      <c r="J90">
        <v>400000</v>
      </c>
      <c r="K90">
        <v>0.36</v>
      </c>
      <c r="L90" t="s">
        <v>160</v>
      </c>
    </row>
    <row r="91" spans="1:12" x14ac:dyDescent="0.3">
      <c r="A91" t="s">
        <v>187</v>
      </c>
      <c r="B91" t="s">
        <v>35</v>
      </c>
      <c r="C91" t="s">
        <v>165</v>
      </c>
      <c r="D91">
        <v>875</v>
      </c>
      <c r="E91">
        <v>600</v>
      </c>
      <c r="F91">
        <v>125</v>
      </c>
      <c r="G91">
        <v>350</v>
      </c>
      <c r="H91">
        <v>575</v>
      </c>
      <c r="I91">
        <v>1100000</v>
      </c>
      <c r="J91">
        <v>400000</v>
      </c>
      <c r="K91">
        <v>0.36</v>
      </c>
      <c r="L91" t="s">
        <v>160</v>
      </c>
    </row>
    <row r="92" spans="1:12" x14ac:dyDescent="0.3">
      <c r="A92" t="s">
        <v>187</v>
      </c>
      <c r="B92" t="s">
        <v>36</v>
      </c>
      <c r="C92" t="s">
        <v>165</v>
      </c>
      <c r="D92">
        <v>575</v>
      </c>
      <c r="E92">
        <v>275</v>
      </c>
      <c r="F92">
        <v>125</v>
      </c>
      <c r="G92">
        <v>350</v>
      </c>
      <c r="H92">
        <v>400</v>
      </c>
      <c r="I92">
        <v>900000</v>
      </c>
      <c r="J92">
        <v>330000</v>
      </c>
      <c r="K92">
        <v>0.36</v>
      </c>
      <c r="L92" t="s">
        <v>160</v>
      </c>
    </row>
    <row r="93" spans="1:12" x14ac:dyDescent="0.3">
      <c r="A93" t="s">
        <v>187</v>
      </c>
      <c r="B93" t="s">
        <v>44</v>
      </c>
      <c r="C93" t="s">
        <v>91</v>
      </c>
      <c r="D93">
        <v>975</v>
      </c>
      <c r="E93">
        <v>650</v>
      </c>
      <c r="F93">
        <v>125</v>
      </c>
      <c r="G93">
        <v>350</v>
      </c>
      <c r="H93">
        <v>725</v>
      </c>
      <c r="I93">
        <v>1100000</v>
      </c>
      <c r="J93">
        <v>400000</v>
      </c>
      <c r="K93">
        <v>0.36</v>
      </c>
      <c r="L93" t="s">
        <v>160</v>
      </c>
    </row>
    <row r="94" spans="1:12" x14ac:dyDescent="0.3">
      <c r="A94" t="s">
        <v>187</v>
      </c>
      <c r="B94" t="s">
        <v>35</v>
      </c>
      <c r="C94" t="s">
        <v>91</v>
      </c>
      <c r="D94">
        <v>800</v>
      </c>
      <c r="E94">
        <v>525</v>
      </c>
      <c r="F94">
        <v>125</v>
      </c>
      <c r="G94">
        <v>350</v>
      </c>
      <c r="H94">
        <v>625</v>
      </c>
      <c r="I94">
        <v>1100000</v>
      </c>
      <c r="J94">
        <v>400000</v>
      </c>
      <c r="K94">
        <v>0.36</v>
      </c>
      <c r="L94" t="s">
        <v>160</v>
      </c>
    </row>
    <row r="95" spans="1:12" x14ac:dyDescent="0.3">
      <c r="A95" s="1" t="s">
        <v>187</v>
      </c>
      <c r="B95" s="1" t="s">
        <v>36</v>
      </c>
      <c r="C95" s="1" t="s">
        <v>91</v>
      </c>
      <c r="D95" s="1">
        <v>450</v>
      </c>
      <c r="E95" s="1">
        <v>300</v>
      </c>
      <c r="F95" s="1">
        <v>125</v>
      </c>
      <c r="G95" s="1">
        <v>350</v>
      </c>
      <c r="H95" s="1">
        <v>325</v>
      </c>
      <c r="I95" s="1">
        <v>900000</v>
      </c>
      <c r="J95" s="1">
        <v>330000</v>
      </c>
      <c r="K95" s="1">
        <v>0.36</v>
      </c>
      <c r="L95" s="1" t="s">
        <v>160</v>
      </c>
    </row>
    <row r="96" spans="1:12" x14ac:dyDescent="0.3">
      <c r="A96" s="3" t="s">
        <v>188</v>
      </c>
      <c r="B96" t="s">
        <v>44</v>
      </c>
      <c r="C96" t="s">
        <v>165</v>
      </c>
      <c r="D96">
        <v>1300</v>
      </c>
      <c r="E96">
        <v>750</v>
      </c>
      <c r="F96">
        <v>140</v>
      </c>
      <c r="G96">
        <v>405</v>
      </c>
      <c r="H96">
        <v>925</v>
      </c>
      <c r="I96">
        <v>1300000</v>
      </c>
      <c r="J96">
        <v>470000</v>
      </c>
      <c r="K96">
        <v>0.43</v>
      </c>
      <c r="L96" t="s">
        <v>157</v>
      </c>
    </row>
    <row r="97" spans="1:12" x14ac:dyDescent="0.3">
      <c r="A97" t="s">
        <v>188</v>
      </c>
      <c r="B97" t="s">
        <v>35</v>
      </c>
      <c r="C97" t="s">
        <v>165</v>
      </c>
      <c r="D97">
        <v>1050</v>
      </c>
      <c r="E97">
        <v>525</v>
      </c>
      <c r="F97">
        <v>140</v>
      </c>
      <c r="G97">
        <v>405</v>
      </c>
      <c r="H97">
        <v>750</v>
      </c>
      <c r="I97">
        <v>1300000</v>
      </c>
      <c r="J97">
        <v>470000</v>
      </c>
      <c r="K97">
        <v>0.43</v>
      </c>
      <c r="L97" t="s">
        <v>157</v>
      </c>
    </row>
    <row r="98" spans="1:12" x14ac:dyDescent="0.3">
      <c r="A98" t="s">
        <v>188</v>
      </c>
      <c r="B98" t="s">
        <v>36</v>
      </c>
      <c r="C98" t="s">
        <v>165</v>
      </c>
      <c r="D98">
        <v>675</v>
      </c>
      <c r="E98">
        <v>350</v>
      </c>
      <c r="F98">
        <v>140</v>
      </c>
      <c r="G98">
        <v>405</v>
      </c>
      <c r="H98">
        <v>500</v>
      </c>
      <c r="I98">
        <v>1100000</v>
      </c>
      <c r="J98">
        <v>400000</v>
      </c>
      <c r="K98">
        <v>0.43</v>
      </c>
      <c r="L98" t="s">
        <v>157</v>
      </c>
    </row>
    <row r="99" spans="1:12" x14ac:dyDescent="0.3">
      <c r="A99" t="s">
        <v>188</v>
      </c>
      <c r="B99" t="s">
        <v>44</v>
      </c>
      <c r="C99" t="s">
        <v>91</v>
      </c>
      <c r="D99">
        <v>1200</v>
      </c>
      <c r="E99">
        <v>800</v>
      </c>
      <c r="F99">
        <v>140</v>
      </c>
      <c r="G99">
        <v>405</v>
      </c>
      <c r="H99">
        <v>975</v>
      </c>
      <c r="I99">
        <v>1300000</v>
      </c>
      <c r="J99">
        <v>470000</v>
      </c>
      <c r="K99">
        <v>0.43</v>
      </c>
      <c r="L99" t="s">
        <v>157</v>
      </c>
    </row>
    <row r="100" spans="1:12" x14ac:dyDescent="0.3">
      <c r="A100" t="s">
        <v>188</v>
      </c>
      <c r="B100" t="s">
        <v>35</v>
      </c>
      <c r="C100" t="s">
        <v>91</v>
      </c>
      <c r="D100">
        <v>975</v>
      </c>
      <c r="E100">
        <v>650</v>
      </c>
      <c r="F100">
        <v>140</v>
      </c>
      <c r="G100">
        <v>405</v>
      </c>
      <c r="H100">
        <v>850</v>
      </c>
      <c r="I100">
        <v>1300000</v>
      </c>
      <c r="J100">
        <v>470000</v>
      </c>
      <c r="K100">
        <v>0.43</v>
      </c>
      <c r="L100" t="s">
        <v>157</v>
      </c>
    </row>
    <row r="101" spans="1:12" x14ac:dyDescent="0.3">
      <c r="A101" s="1" t="s">
        <v>188</v>
      </c>
      <c r="B101" s="1" t="s">
        <v>36</v>
      </c>
      <c r="C101" s="1" t="s">
        <v>91</v>
      </c>
      <c r="D101" s="1">
        <v>575</v>
      </c>
      <c r="E101" s="1">
        <v>375</v>
      </c>
      <c r="F101" s="1">
        <v>140</v>
      </c>
      <c r="G101" s="1">
        <v>405</v>
      </c>
      <c r="H101" s="1">
        <v>575</v>
      </c>
      <c r="I101" s="1">
        <v>1100000</v>
      </c>
      <c r="J101" s="1">
        <v>400000</v>
      </c>
      <c r="K101" s="1">
        <v>0.43</v>
      </c>
      <c r="L101" s="1" t="s">
        <v>157</v>
      </c>
    </row>
    <row r="102" spans="1:12" x14ac:dyDescent="0.3">
      <c r="A102" t="s">
        <v>189</v>
      </c>
      <c r="B102" t="s">
        <v>44</v>
      </c>
      <c r="C102" t="s">
        <v>165</v>
      </c>
      <c r="D102">
        <v>1250</v>
      </c>
      <c r="E102">
        <v>725</v>
      </c>
      <c r="F102">
        <v>135</v>
      </c>
      <c r="G102">
        <v>405</v>
      </c>
      <c r="H102">
        <v>900</v>
      </c>
      <c r="I102">
        <v>1300000</v>
      </c>
      <c r="J102">
        <v>470000</v>
      </c>
      <c r="K102">
        <v>0.46</v>
      </c>
      <c r="L102" t="s">
        <v>161</v>
      </c>
    </row>
    <row r="103" spans="1:12" x14ac:dyDescent="0.3">
      <c r="A103" t="s">
        <v>189</v>
      </c>
      <c r="B103" t="s">
        <v>35</v>
      </c>
      <c r="C103" t="s">
        <v>165</v>
      </c>
      <c r="D103">
        <v>1000</v>
      </c>
      <c r="E103">
        <v>500</v>
      </c>
      <c r="F103">
        <v>135</v>
      </c>
      <c r="G103">
        <v>405</v>
      </c>
      <c r="H103">
        <v>750</v>
      </c>
      <c r="I103">
        <v>1300000</v>
      </c>
      <c r="J103">
        <v>470000</v>
      </c>
      <c r="K103">
        <v>0.46</v>
      </c>
      <c r="L103" t="s">
        <v>161</v>
      </c>
    </row>
    <row r="104" spans="1:12" x14ac:dyDescent="0.3">
      <c r="A104" t="s">
        <v>189</v>
      </c>
      <c r="B104" t="s">
        <v>36</v>
      </c>
      <c r="C104" t="s">
        <v>165</v>
      </c>
      <c r="D104">
        <v>675</v>
      </c>
      <c r="E104">
        <v>325</v>
      </c>
      <c r="F104">
        <v>135</v>
      </c>
      <c r="G104">
        <v>405</v>
      </c>
      <c r="H104">
        <v>475</v>
      </c>
      <c r="I104">
        <v>1100000</v>
      </c>
      <c r="J104">
        <v>400000</v>
      </c>
      <c r="K104">
        <v>0.46</v>
      </c>
      <c r="L104" t="s">
        <v>161</v>
      </c>
    </row>
    <row r="105" spans="1:12" x14ac:dyDescent="0.3">
      <c r="A105" t="s">
        <v>189</v>
      </c>
      <c r="B105" t="s">
        <v>44</v>
      </c>
      <c r="C105" t="s">
        <v>91</v>
      </c>
      <c r="D105">
        <v>1150</v>
      </c>
      <c r="E105">
        <v>775</v>
      </c>
      <c r="F105">
        <v>135</v>
      </c>
      <c r="G105">
        <v>405</v>
      </c>
      <c r="H105">
        <v>950</v>
      </c>
      <c r="I105">
        <v>1300000</v>
      </c>
      <c r="J105">
        <v>470000</v>
      </c>
      <c r="K105">
        <v>0.46</v>
      </c>
      <c r="L105" t="s">
        <v>161</v>
      </c>
    </row>
    <row r="106" spans="1:12" x14ac:dyDescent="0.3">
      <c r="A106" t="s">
        <v>189</v>
      </c>
      <c r="B106" t="s">
        <v>35</v>
      </c>
      <c r="C106" t="s">
        <v>91</v>
      </c>
      <c r="D106">
        <v>925</v>
      </c>
      <c r="E106">
        <v>625</v>
      </c>
      <c r="F106">
        <v>135</v>
      </c>
      <c r="G106">
        <v>405</v>
      </c>
      <c r="H106">
        <v>850</v>
      </c>
      <c r="I106">
        <v>1300000</v>
      </c>
      <c r="J106">
        <v>470000</v>
      </c>
      <c r="K106">
        <v>0.46</v>
      </c>
      <c r="L106" t="s">
        <v>161</v>
      </c>
    </row>
    <row r="107" spans="1:12" x14ac:dyDescent="0.3">
      <c r="A107" s="1" t="s">
        <v>189</v>
      </c>
      <c r="B107" s="1" t="s">
        <v>36</v>
      </c>
      <c r="C107" s="1" t="s">
        <v>91</v>
      </c>
      <c r="D107" s="1">
        <v>550</v>
      </c>
      <c r="E107" s="1">
        <v>375</v>
      </c>
      <c r="F107" s="1">
        <v>135</v>
      </c>
      <c r="G107" s="1">
        <v>405</v>
      </c>
      <c r="H107" s="1">
        <v>575</v>
      </c>
      <c r="I107" s="1">
        <v>1100000</v>
      </c>
      <c r="J107" s="1">
        <v>400000</v>
      </c>
      <c r="K107" s="1">
        <v>0.46</v>
      </c>
      <c r="L107" s="1" t="s">
        <v>161</v>
      </c>
    </row>
    <row r="108" spans="1:12" x14ac:dyDescent="0.3">
      <c r="A108" t="s">
        <v>190</v>
      </c>
      <c r="B108" t="s">
        <v>44</v>
      </c>
      <c r="C108" t="s">
        <v>165</v>
      </c>
      <c r="D108">
        <v>1150</v>
      </c>
      <c r="E108">
        <v>700</v>
      </c>
      <c r="F108">
        <v>180</v>
      </c>
      <c r="G108">
        <v>620</v>
      </c>
      <c r="H108">
        <v>725</v>
      </c>
      <c r="I108">
        <v>1100000</v>
      </c>
      <c r="J108">
        <v>400000</v>
      </c>
      <c r="K108">
        <v>0.55000000000000004</v>
      </c>
      <c r="L108" t="s">
        <v>160</v>
      </c>
    </row>
    <row r="109" spans="1:12" x14ac:dyDescent="0.3">
      <c r="A109" t="s">
        <v>190</v>
      </c>
      <c r="B109" t="s">
        <v>35</v>
      </c>
      <c r="C109" t="s">
        <v>165</v>
      </c>
      <c r="D109">
        <v>975</v>
      </c>
      <c r="E109">
        <v>500</v>
      </c>
      <c r="F109">
        <v>180</v>
      </c>
      <c r="G109">
        <v>620</v>
      </c>
      <c r="H109">
        <v>600</v>
      </c>
      <c r="I109">
        <v>1100000</v>
      </c>
      <c r="J109">
        <v>400000</v>
      </c>
      <c r="K109">
        <v>0.55000000000000004</v>
      </c>
      <c r="L109" t="s">
        <v>160</v>
      </c>
    </row>
    <row r="110" spans="1:12" x14ac:dyDescent="0.3">
      <c r="A110" t="s">
        <v>190</v>
      </c>
      <c r="B110" t="s">
        <v>36</v>
      </c>
      <c r="C110" t="s">
        <v>165</v>
      </c>
      <c r="D110">
        <v>625</v>
      </c>
      <c r="E110">
        <v>325</v>
      </c>
      <c r="F110">
        <v>180</v>
      </c>
      <c r="G110">
        <v>620</v>
      </c>
      <c r="H110">
        <v>375</v>
      </c>
      <c r="I110">
        <v>900000</v>
      </c>
      <c r="J110">
        <v>330000</v>
      </c>
      <c r="K110">
        <v>0.55000000000000004</v>
      </c>
      <c r="L110" t="s">
        <v>160</v>
      </c>
    </row>
    <row r="111" spans="1:12" x14ac:dyDescent="0.3">
      <c r="A111" t="s">
        <v>190</v>
      </c>
      <c r="B111" t="s">
        <v>44</v>
      </c>
      <c r="C111" t="s">
        <v>91</v>
      </c>
      <c r="D111">
        <v>1100</v>
      </c>
      <c r="E111">
        <v>725</v>
      </c>
      <c r="F111">
        <v>180</v>
      </c>
      <c r="G111">
        <v>620</v>
      </c>
      <c r="H111">
        <v>750</v>
      </c>
      <c r="I111">
        <v>1100000</v>
      </c>
      <c r="J111">
        <v>400000</v>
      </c>
      <c r="K111">
        <v>0.55000000000000004</v>
      </c>
      <c r="L111" t="s">
        <v>160</v>
      </c>
    </row>
    <row r="112" spans="1:12" x14ac:dyDescent="0.3">
      <c r="A112" t="s">
        <v>190</v>
      </c>
      <c r="B112" t="s">
        <v>35</v>
      </c>
      <c r="C112" t="s">
        <v>91</v>
      </c>
      <c r="D112">
        <v>875</v>
      </c>
      <c r="E112">
        <v>600</v>
      </c>
      <c r="F112">
        <v>180</v>
      </c>
      <c r="G112">
        <v>620</v>
      </c>
      <c r="H112">
        <v>650</v>
      </c>
      <c r="I112">
        <v>1100000</v>
      </c>
      <c r="J112">
        <v>400000</v>
      </c>
      <c r="K112">
        <v>0.55000000000000004</v>
      </c>
      <c r="L112" t="s">
        <v>160</v>
      </c>
    </row>
    <row r="113" spans="1:12" x14ac:dyDescent="0.3">
      <c r="A113" s="1" t="s">
        <v>190</v>
      </c>
      <c r="B113" s="1" t="s">
        <v>36</v>
      </c>
      <c r="C113" s="1" t="s">
        <v>91</v>
      </c>
      <c r="D113" s="1">
        <v>500</v>
      </c>
      <c r="E113" s="1">
        <v>350</v>
      </c>
      <c r="F113" s="1">
        <v>180</v>
      </c>
      <c r="G113" s="1">
        <v>620</v>
      </c>
      <c r="H113" s="1">
        <v>300</v>
      </c>
      <c r="I113" s="1">
        <v>900000</v>
      </c>
      <c r="J113" s="1">
        <v>330000</v>
      </c>
      <c r="K113" s="1">
        <v>0.55000000000000004</v>
      </c>
      <c r="L113" s="1" t="s">
        <v>160</v>
      </c>
    </row>
    <row r="114" spans="1:12" x14ac:dyDescent="0.3">
      <c r="A114" t="s">
        <v>191</v>
      </c>
      <c r="B114" t="s">
        <v>44</v>
      </c>
      <c r="C114" t="s">
        <v>165</v>
      </c>
      <c r="D114">
        <v>1350</v>
      </c>
      <c r="E114">
        <v>800</v>
      </c>
      <c r="F114">
        <v>155</v>
      </c>
      <c r="G114">
        <v>800</v>
      </c>
      <c r="H114">
        <v>825</v>
      </c>
      <c r="I114">
        <v>1000000</v>
      </c>
      <c r="J114">
        <v>370000</v>
      </c>
      <c r="K114">
        <v>0.68</v>
      </c>
      <c r="L114" t="s">
        <v>160</v>
      </c>
    </row>
    <row r="115" spans="1:12" x14ac:dyDescent="0.3">
      <c r="A115" t="s">
        <v>191</v>
      </c>
      <c r="B115" t="s">
        <v>35</v>
      </c>
      <c r="C115" t="s">
        <v>165</v>
      </c>
      <c r="D115">
        <v>1150</v>
      </c>
      <c r="E115">
        <v>550</v>
      </c>
      <c r="F115">
        <v>155</v>
      </c>
      <c r="G115">
        <v>800</v>
      </c>
      <c r="H115">
        <v>700</v>
      </c>
      <c r="I115">
        <v>1000000</v>
      </c>
      <c r="J115">
        <v>370000</v>
      </c>
      <c r="K115">
        <v>0.68</v>
      </c>
      <c r="L115" t="s">
        <v>160</v>
      </c>
    </row>
    <row r="116" spans="1:12" x14ac:dyDescent="0.3">
      <c r="A116" t="s">
        <v>191</v>
      </c>
      <c r="B116" t="s">
        <v>36</v>
      </c>
      <c r="C116" t="s">
        <v>165</v>
      </c>
      <c r="D116">
        <v>725</v>
      </c>
      <c r="E116">
        <v>375</v>
      </c>
      <c r="F116">
        <v>155</v>
      </c>
      <c r="G116">
        <v>800</v>
      </c>
      <c r="H116">
        <v>450</v>
      </c>
      <c r="I116">
        <v>800000</v>
      </c>
      <c r="J116">
        <v>290000</v>
      </c>
      <c r="K116">
        <v>0.68</v>
      </c>
      <c r="L116" t="s">
        <v>160</v>
      </c>
    </row>
    <row r="117" spans="1:12" x14ac:dyDescent="0.3">
      <c r="A117" t="s">
        <v>191</v>
      </c>
      <c r="B117" t="s">
        <v>44</v>
      </c>
      <c r="C117" t="s">
        <v>91</v>
      </c>
      <c r="D117">
        <v>1250</v>
      </c>
      <c r="E117">
        <v>850</v>
      </c>
      <c r="F117">
        <v>155</v>
      </c>
      <c r="G117">
        <v>800</v>
      </c>
      <c r="H117">
        <v>875</v>
      </c>
      <c r="I117">
        <v>1000000</v>
      </c>
      <c r="J117">
        <v>370000</v>
      </c>
      <c r="K117">
        <v>0.68</v>
      </c>
      <c r="L117" t="s">
        <v>160</v>
      </c>
    </row>
    <row r="118" spans="1:12" x14ac:dyDescent="0.3">
      <c r="A118" t="s">
        <v>191</v>
      </c>
      <c r="B118" t="s">
        <v>35</v>
      </c>
      <c r="C118" t="s">
        <v>91</v>
      </c>
      <c r="D118">
        <v>1000</v>
      </c>
      <c r="E118">
        <v>675</v>
      </c>
      <c r="F118">
        <v>155</v>
      </c>
      <c r="G118">
        <v>800</v>
      </c>
      <c r="H118">
        <v>775</v>
      </c>
      <c r="I118">
        <v>1000000</v>
      </c>
      <c r="J118">
        <v>370000</v>
      </c>
      <c r="K118">
        <v>0.68</v>
      </c>
      <c r="L118" t="s">
        <v>160</v>
      </c>
    </row>
    <row r="119" spans="1:12" x14ac:dyDescent="0.3">
      <c r="A119" s="1" t="s">
        <v>191</v>
      </c>
      <c r="B119" s="1" t="s">
        <v>36</v>
      </c>
      <c r="C119" s="1" t="s">
        <v>91</v>
      </c>
      <c r="D119" s="1">
        <v>575</v>
      </c>
      <c r="E119" s="1">
        <v>400</v>
      </c>
      <c r="F119" s="1">
        <v>155</v>
      </c>
      <c r="G119" s="1">
        <v>800</v>
      </c>
      <c r="H119" s="1">
        <v>350</v>
      </c>
      <c r="I119" s="1">
        <v>800000</v>
      </c>
      <c r="J119" s="1">
        <v>290000</v>
      </c>
      <c r="K119" s="1">
        <v>0.68</v>
      </c>
      <c r="L119" s="1" t="s">
        <v>160</v>
      </c>
    </row>
    <row r="120" spans="1:12" x14ac:dyDescent="0.3">
      <c r="A120" t="s">
        <v>212</v>
      </c>
      <c r="B120" t="s">
        <v>44</v>
      </c>
      <c r="C120" t="s">
        <v>165</v>
      </c>
      <c r="D120">
        <v>1500</v>
      </c>
      <c r="E120">
        <v>1000</v>
      </c>
      <c r="F120">
        <v>165</v>
      </c>
      <c r="G120">
        <v>375</v>
      </c>
      <c r="H120">
        <v>900</v>
      </c>
      <c r="I120">
        <v>1300000</v>
      </c>
      <c r="J120">
        <v>470000</v>
      </c>
      <c r="K120">
        <v>0.51</v>
      </c>
      <c r="L120" t="s">
        <v>159</v>
      </c>
    </row>
    <row r="121" spans="1:12" x14ac:dyDescent="0.3">
      <c r="A121" t="s">
        <v>212</v>
      </c>
      <c r="B121" t="s">
        <v>35</v>
      </c>
      <c r="C121" t="s">
        <v>165</v>
      </c>
      <c r="D121">
        <v>1350</v>
      </c>
      <c r="E121">
        <v>900</v>
      </c>
      <c r="F121">
        <v>165</v>
      </c>
      <c r="G121">
        <v>375</v>
      </c>
      <c r="H121">
        <v>800</v>
      </c>
      <c r="I121">
        <v>1300000</v>
      </c>
      <c r="J121">
        <v>470000</v>
      </c>
      <c r="K121">
        <v>0.51</v>
      </c>
      <c r="L121" t="s">
        <v>159</v>
      </c>
    </row>
    <row r="122" spans="1:12" x14ac:dyDescent="0.3">
      <c r="A122" t="s">
        <v>212</v>
      </c>
      <c r="B122" t="s">
        <v>36</v>
      </c>
      <c r="C122" t="s">
        <v>165</v>
      </c>
      <c r="D122">
        <v>850</v>
      </c>
      <c r="E122">
        <v>550</v>
      </c>
      <c r="F122">
        <v>165</v>
      </c>
      <c r="G122">
        <v>375</v>
      </c>
      <c r="H122">
        <v>525</v>
      </c>
      <c r="I122">
        <v>1000000</v>
      </c>
      <c r="J122">
        <v>370000</v>
      </c>
      <c r="K122">
        <v>0.51</v>
      </c>
      <c r="L122" t="s">
        <v>159</v>
      </c>
    </row>
    <row r="123" spans="1:12" x14ac:dyDescent="0.3">
      <c r="A123" t="s">
        <v>212</v>
      </c>
      <c r="B123" t="s">
        <v>44</v>
      </c>
      <c r="C123" t="s">
        <v>91</v>
      </c>
      <c r="D123">
        <v>1500</v>
      </c>
      <c r="E123">
        <v>1000</v>
      </c>
      <c r="F123">
        <v>165</v>
      </c>
      <c r="G123">
        <v>375</v>
      </c>
      <c r="H123">
        <v>900</v>
      </c>
      <c r="I123">
        <v>1300000</v>
      </c>
      <c r="J123">
        <v>470000</v>
      </c>
      <c r="K123">
        <v>0.51</v>
      </c>
      <c r="L123" t="s">
        <v>159</v>
      </c>
    </row>
    <row r="124" spans="1:12" x14ac:dyDescent="0.3">
      <c r="A124" t="s">
        <v>212</v>
      </c>
      <c r="B124" t="s">
        <v>35</v>
      </c>
      <c r="C124" t="s">
        <v>91</v>
      </c>
      <c r="D124">
        <v>1350</v>
      </c>
      <c r="E124">
        <v>900</v>
      </c>
      <c r="F124">
        <v>165</v>
      </c>
      <c r="G124">
        <v>375</v>
      </c>
      <c r="H124">
        <v>800</v>
      </c>
      <c r="I124">
        <v>1300000</v>
      </c>
      <c r="J124">
        <v>470000</v>
      </c>
      <c r="K124">
        <v>0.51</v>
      </c>
      <c r="L124" t="s">
        <v>159</v>
      </c>
    </row>
    <row r="125" spans="1:12" x14ac:dyDescent="0.3">
      <c r="A125" s="1" t="s">
        <v>212</v>
      </c>
      <c r="B125" s="1" t="s">
        <v>36</v>
      </c>
      <c r="C125" s="1" t="s">
        <v>91</v>
      </c>
      <c r="D125" s="1">
        <v>850</v>
      </c>
      <c r="E125" s="1">
        <v>550</v>
      </c>
      <c r="F125" s="1">
        <v>165</v>
      </c>
      <c r="G125" s="1">
        <v>375</v>
      </c>
      <c r="H125" s="1">
        <v>525</v>
      </c>
      <c r="I125" s="1">
        <v>1000000</v>
      </c>
      <c r="J125" s="1">
        <v>370000</v>
      </c>
      <c r="K125" s="1">
        <v>0.51</v>
      </c>
      <c r="L125" s="1" t="s">
        <v>159</v>
      </c>
    </row>
    <row r="126" spans="1:12" x14ac:dyDescent="0.3">
      <c r="A126" t="s">
        <v>213</v>
      </c>
      <c r="B126" t="s">
        <v>44</v>
      </c>
      <c r="C126" t="s">
        <v>165</v>
      </c>
      <c r="D126">
        <v>1350</v>
      </c>
      <c r="E126">
        <v>775</v>
      </c>
      <c r="F126">
        <v>170</v>
      </c>
      <c r="G126">
        <v>570</v>
      </c>
      <c r="H126">
        <v>875</v>
      </c>
      <c r="I126">
        <v>1100000</v>
      </c>
      <c r="J126">
        <v>400000</v>
      </c>
      <c r="K126">
        <v>0.47</v>
      </c>
      <c r="L126" t="s">
        <v>157</v>
      </c>
    </row>
    <row r="127" spans="1:12" x14ac:dyDescent="0.3">
      <c r="A127" t="s">
        <v>213</v>
      </c>
      <c r="B127" t="s">
        <v>35</v>
      </c>
      <c r="C127" t="s">
        <v>165</v>
      </c>
      <c r="D127">
        <v>1100</v>
      </c>
      <c r="E127">
        <v>550</v>
      </c>
      <c r="F127">
        <v>170</v>
      </c>
      <c r="G127">
        <v>570</v>
      </c>
      <c r="H127">
        <v>725</v>
      </c>
      <c r="I127">
        <v>1100000</v>
      </c>
      <c r="J127">
        <v>400000</v>
      </c>
      <c r="K127">
        <v>0.47</v>
      </c>
      <c r="L127" t="s">
        <v>157</v>
      </c>
    </row>
    <row r="128" spans="1:12" x14ac:dyDescent="0.3">
      <c r="A128" t="s">
        <v>213</v>
      </c>
      <c r="B128" t="s">
        <v>36</v>
      </c>
      <c r="C128" t="s">
        <v>165</v>
      </c>
      <c r="D128">
        <v>725</v>
      </c>
      <c r="E128">
        <v>375</v>
      </c>
      <c r="F128">
        <v>170</v>
      </c>
      <c r="G128">
        <v>570</v>
      </c>
      <c r="H128">
        <v>475</v>
      </c>
      <c r="I128">
        <v>900000</v>
      </c>
      <c r="J128">
        <v>330000</v>
      </c>
      <c r="K128">
        <v>0.47</v>
      </c>
      <c r="L128" t="s">
        <v>157</v>
      </c>
    </row>
    <row r="129" spans="1:12" x14ac:dyDescent="0.3">
      <c r="A129" t="s">
        <v>213</v>
      </c>
      <c r="B129" t="s">
        <v>44</v>
      </c>
      <c r="C129" t="s">
        <v>91</v>
      </c>
      <c r="D129">
        <v>1250</v>
      </c>
      <c r="E129">
        <v>825</v>
      </c>
      <c r="F129">
        <v>170</v>
      </c>
      <c r="G129">
        <v>570</v>
      </c>
      <c r="H129">
        <v>925</v>
      </c>
      <c r="I129">
        <v>1100000</v>
      </c>
      <c r="J129">
        <v>400000</v>
      </c>
      <c r="K129">
        <v>0.47</v>
      </c>
      <c r="L129" t="s">
        <v>157</v>
      </c>
    </row>
    <row r="130" spans="1:12" x14ac:dyDescent="0.3">
      <c r="A130" t="s">
        <v>213</v>
      </c>
      <c r="B130" t="s">
        <v>35</v>
      </c>
      <c r="C130" t="s">
        <v>91</v>
      </c>
      <c r="D130">
        <v>1000</v>
      </c>
      <c r="E130">
        <v>675</v>
      </c>
      <c r="F130">
        <v>170</v>
      </c>
      <c r="G130">
        <v>570</v>
      </c>
      <c r="H130">
        <v>800</v>
      </c>
      <c r="I130">
        <v>1100000</v>
      </c>
      <c r="J130">
        <v>400000</v>
      </c>
      <c r="K130">
        <v>0.47</v>
      </c>
      <c r="L130" t="s">
        <v>157</v>
      </c>
    </row>
    <row r="131" spans="1:12" x14ac:dyDescent="0.3">
      <c r="A131" s="1" t="s">
        <v>213</v>
      </c>
      <c r="B131" s="1" t="s">
        <v>36</v>
      </c>
      <c r="C131" s="1" t="s">
        <v>91</v>
      </c>
      <c r="D131" s="1">
        <v>625</v>
      </c>
      <c r="E131" s="1">
        <v>400</v>
      </c>
      <c r="F131" s="1">
        <v>170</v>
      </c>
      <c r="G131" s="1">
        <v>570</v>
      </c>
      <c r="H131" s="1">
        <v>550</v>
      </c>
      <c r="I131" s="1">
        <v>900000</v>
      </c>
      <c r="J131" s="1">
        <v>330000</v>
      </c>
      <c r="K131" s="1">
        <v>0.47</v>
      </c>
      <c r="L131" s="1" t="s">
        <v>157</v>
      </c>
    </row>
    <row r="132" spans="1:12" x14ac:dyDescent="0.3">
      <c r="A132" t="s">
        <v>214</v>
      </c>
      <c r="B132" t="s">
        <v>44</v>
      </c>
      <c r="C132" t="s">
        <v>165</v>
      </c>
      <c r="D132">
        <v>1250</v>
      </c>
      <c r="E132">
        <v>850</v>
      </c>
      <c r="F132">
        <v>135</v>
      </c>
      <c r="G132">
        <v>435</v>
      </c>
      <c r="H132">
        <v>850</v>
      </c>
      <c r="I132">
        <v>1300000</v>
      </c>
      <c r="J132">
        <v>470000</v>
      </c>
      <c r="K132">
        <v>0.42</v>
      </c>
      <c r="L132" t="s">
        <v>160</v>
      </c>
    </row>
    <row r="133" spans="1:12" x14ac:dyDescent="0.3">
      <c r="A133" t="s">
        <v>214</v>
      </c>
      <c r="B133" t="s">
        <v>35</v>
      </c>
      <c r="C133" t="s">
        <v>165</v>
      </c>
      <c r="D133">
        <v>1050</v>
      </c>
      <c r="E133">
        <v>700</v>
      </c>
      <c r="F133">
        <v>135</v>
      </c>
      <c r="G133">
        <v>435</v>
      </c>
      <c r="H133">
        <v>725</v>
      </c>
      <c r="I133">
        <v>1300000</v>
      </c>
      <c r="J133">
        <v>470000</v>
      </c>
      <c r="K133">
        <v>0.42</v>
      </c>
      <c r="L133" t="s">
        <v>160</v>
      </c>
    </row>
    <row r="134" spans="1:12" x14ac:dyDescent="0.3">
      <c r="A134" t="s">
        <v>214</v>
      </c>
      <c r="B134" t="s">
        <v>36</v>
      </c>
      <c r="C134" t="s">
        <v>165</v>
      </c>
      <c r="D134">
        <v>675</v>
      </c>
      <c r="E134">
        <v>350</v>
      </c>
      <c r="F134">
        <v>135</v>
      </c>
      <c r="G134">
        <v>435</v>
      </c>
      <c r="H134">
        <v>450</v>
      </c>
      <c r="I134">
        <v>1000000</v>
      </c>
      <c r="J134">
        <v>370000</v>
      </c>
      <c r="K134">
        <v>0.42</v>
      </c>
      <c r="L134" t="s">
        <v>160</v>
      </c>
    </row>
    <row r="135" spans="1:12" x14ac:dyDescent="0.3">
      <c r="A135" t="s">
        <v>214</v>
      </c>
      <c r="B135" t="s">
        <v>44</v>
      </c>
      <c r="C135" t="s">
        <v>91</v>
      </c>
      <c r="D135">
        <v>1150</v>
      </c>
      <c r="E135">
        <v>800</v>
      </c>
      <c r="F135">
        <v>135</v>
      </c>
      <c r="G135">
        <v>435</v>
      </c>
      <c r="H135">
        <v>900</v>
      </c>
      <c r="I135">
        <v>1300000</v>
      </c>
      <c r="J135">
        <v>470000</v>
      </c>
      <c r="K135">
        <v>0.42</v>
      </c>
      <c r="L135" t="s">
        <v>160</v>
      </c>
    </row>
    <row r="136" spans="1:12" x14ac:dyDescent="0.3">
      <c r="A136" t="s">
        <v>214</v>
      </c>
      <c r="B136" t="s">
        <v>35</v>
      </c>
      <c r="C136" t="s">
        <v>91</v>
      </c>
      <c r="D136">
        <v>950</v>
      </c>
      <c r="E136">
        <v>650</v>
      </c>
      <c r="F136">
        <v>135</v>
      </c>
      <c r="G136">
        <v>435</v>
      </c>
      <c r="H136">
        <v>800</v>
      </c>
      <c r="I136">
        <v>1300000</v>
      </c>
      <c r="J136">
        <v>470000</v>
      </c>
      <c r="K136">
        <v>0.42</v>
      </c>
      <c r="L136" t="s">
        <v>160</v>
      </c>
    </row>
    <row r="137" spans="1:12" x14ac:dyDescent="0.3">
      <c r="A137" s="1" t="s">
        <v>214</v>
      </c>
      <c r="B137" s="1" t="s">
        <v>36</v>
      </c>
      <c r="C137" s="1" t="s">
        <v>91</v>
      </c>
      <c r="D137" s="1">
        <v>550</v>
      </c>
      <c r="E137" s="1">
        <v>375</v>
      </c>
      <c r="F137" s="1">
        <v>135</v>
      </c>
      <c r="G137" s="1">
        <v>435</v>
      </c>
      <c r="H137" s="1">
        <v>375</v>
      </c>
      <c r="I137" s="1">
        <v>1000000</v>
      </c>
      <c r="J137" s="1">
        <v>370000</v>
      </c>
      <c r="K137" s="1">
        <v>0.42</v>
      </c>
      <c r="L137" s="1" t="s">
        <v>160</v>
      </c>
    </row>
    <row r="138" spans="1:12" x14ac:dyDescent="0.3">
      <c r="A138" t="s">
        <v>192</v>
      </c>
      <c r="B138" t="s">
        <v>44</v>
      </c>
      <c r="C138" t="s">
        <v>165</v>
      </c>
      <c r="D138">
        <v>1600</v>
      </c>
      <c r="E138">
        <v>950</v>
      </c>
      <c r="F138">
        <v>205</v>
      </c>
      <c r="G138">
        <v>885</v>
      </c>
      <c r="H138">
        <v>950</v>
      </c>
      <c r="I138">
        <v>1300000</v>
      </c>
      <c r="J138">
        <v>470000</v>
      </c>
      <c r="K138">
        <v>0.68</v>
      </c>
      <c r="L138" t="s">
        <v>160</v>
      </c>
    </row>
    <row r="139" spans="1:12" x14ac:dyDescent="0.3">
      <c r="A139" t="s">
        <v>192</v>
      </c>
      <c r="B139" t="s">
        <v>35</v>
      </c>
      <c r="C139" t="s">
        <v>165</v>
      </c>
      <c r="D139">
        <v>1350</v>
      </c>
      <c r="E139">
        <v>675</v>
      </c>
      <c r="F139">
        <v>205</v>
      </c>
      <c r="G139">
        <v>885</v>
      </c>
      <c r="H139">
        <v>800</v>
      </c>
      <c r="I139">
        <v>1300000</v>
      </c>
      <c r="J139">
        <v>470000</v>
      </c>
      <c r="K139">
        <v>0.68</v>
      </c>
      <c r="L139" t="s">
        <v>160</v>
      </c>
    </row>
    <row r="140" spans="1:12" x14ac:dyDescent="0.3">
      <c r="A140" t="s">
        <v>192</v>
      </c>
      <c r="B140" t="s">
        <v>36</v>
      </c>
      <c r="C140" t="s">
        <v>165</v>
      </c>
      <c r="D140">
        <v>875</v>
      </c>
      <c r="E140">
        <v>425</v>
      </c>
      <c r="F140">
        <v>205</v>
      </c>
      <c r="G140">
        <v>885</v>
      </c>
      <c r="H140">
        <v>500</v>
      </c>
      <c r="I140">
        <v>1000000</v>
      </c>
      <c r="J140">
        <v>370000</v>
      </c>
      <c r="K140">
        <v>0.68</v>
      </c>
      <c r="L140" t="s">
        <v>160</v>
      </c>
    </row>
    <row r="141" spans="1:12" x14ac:dyDescent="0.3">
      <c r="A141" t="s">
        <v>192</v>
      </c>
      <c r="B141" t="s">
        <v>44</v>
      </c>
      <c r="C141" t="s">
        <v>91</v>
      </c>
      <c r="D141">
        <v>1500</v>
      </c>
      <c r="E141">
        <v>1000</v>
      </c>
      <c r="F141">
        <v>205</v>
      </c>
      <c r="G141">
        <v>885</v>
      </c>
      <c r="H141">
        <v>1000</v>
      </c>
      <c r="I141">
        <v>1300000</v>
      </c>
      <c r="J141">
        <v>470000</v>
      </c>
      <c r="K141">
        <v>0.68</v>
      </c>
      <c r="L141" t="s">
        <v>160</v>
      </c>
    </row>
    <row r="142" spans="1:12" x14ac:dyDescent="0.3">
      <c r="A142" t="s">
        <v>192</v>
      </c>
      <c r="B142" t="s">
        <v>35</v>
      </c>
      <c r="C142" t="s">
        <v>91</v>
      </c>
      <c r="D142">
        <v>1200</v>
      </c>
      <c r="E142">
        <v>800</v>
      </c>
      <c r="F142">
        <v>205</v>
      </c>
      <c r="G142">
        <v>885</v>
      </c>
      <c r="H142">
        <v>875</v>
      </c>
      <c r="I142">
        <v>1300000</v>
      </c>
      <c r="J142">
        <v>470000</v>
      </c>
      <c r="K142">
        <v>0.68</v>
      </c>
      <c r="L142" t="s">
        <v>160</v>
      </c>
    </row>
    <row r="143" spans="1:12" x14ac:dyDescent="0.3">
      <c r="A143" s="1" t="s">
        <v>192</v>
      </c>
      <c r="B143" s="1" t="s">
        <v>36</v>
      </c>
      <c r="C143" s="1" t="s">
        <v>91</v>
      </c>
      <c r="D143" s="1">
        <v>700</v>
      </c>
      <c r="E143" s="1">
        <v>475</v>
      </c>
      <c r="F143" s="1">
        <v>205</v>
      </c>
      <c r="G143" s="1">
        <v>885</v>
      </c>
      <c r="H143" s="1">
        <v>400</v>
      </c>
      <c r="I143" s="1">
        <v>1000000</v>
      </c>
      <c r="J143" s="1">
        <v>370000</v>
      </c>
      <c r="K143" s="1">
        <v>0.68</v>
      </c>
      <c r="L143" s="1" t="s">
        <v>160</v>
      </c>
    </row>
    <row r="144" spans="1:12" x14ac:dyDescent="0.3">
      <c r="A144" t="s">
        <v>194</v>
      </c>
      <c r="B144" t="s">
        <v>44</v>
      </c>
      <c r="C144" t="s">
        <v>165</v>
      </c>
      <c r="D144">
        <v>900</v>
      </c>
      <c r="E144">
        <v>600</v>
      </c>
      <c r="F144">
        <v>115</v>
      </c>
      <c r="G144">
        <v>370</v>
      </c>
      <c r="H144">
        <v>600</v>
      </c>
      <c r="I144">
        <v>700000</v>
      </c>
      <c r="J144">
        <v>260000</v>
      </c>
      <c r="K144">
        <v>0.31</v>
      </c>
      <c r="L144" t="s">
        <v>160</v>
      </c>
    </row>
    <row r="145" spans="1:12" x14ac:dyDescent="0.3">
      <c r="A145" t="s">
        <v>194</v>
      </c>
      <c r="B145" t="s">
        <v>35</v>
      </c>
      <c r="C145" t="s">
        <v>165</v>
      </c>
      <c r="D145">
        <v>750</v>
      </c>
      <c r="E145">
        <v>500</v>
      </c>
      <c r="F145">
        <v>115</v>
      </c>
      <c r="G145">
        <v>370</v>
      </c>
      <c r="H145">
        <v>500</v>
      </c>
      <c r="I145">
        <v>700000</v>
      </c>
      <c r="J145">
        <v>260000</v>
      </c>
      <c r="K145">
        <v>0.31</v>
      </c>
      <c r="L145" t="s">
        <v>160</v>
      </c>
    </row>
    <row r="146" spans="1:12" x14ac:dyDescent="0.3">
      <c r="A146" t="s">
        <v>194</v>
      </c>
      <c r="B146" t="s">
        <v>36</v>
      </c>
      <c r="C146" t="s">
        <v>165</v>
      </c>
      <c r="D146">
        <v>500</v>
      </c>
      <c r="E146">
        <v>250</v>
      </c>
      <c r="F146">
        <v>115</v>
      </c>
      <c r="G146">
        <v>370</v>
      </c>
      <c r="H146">
        <v>325</v>
      </c>
      <c r="I146">
        <v>600000</v>
      </c>
      <c r="J146">
        <v>220000</v>
      </c>
      <c r="K146">
        <v>0.31</v>
      </c>
      <c r="L146" t="s">
        <v>160</v>
      </c>
    </row>
    <row r="147" spans="1:12" x14ac:dyDescent="0.3">
      <c r="A147" t="s">
        <v>194</v>
      </c>
      <c r="B147" t="s">
        <v>44</v>
      </c>
      <c r="C147" t="s">
        <v>91</v>
      </c>
      <c r="D147">
        <v>850</v>
      </c>
      <c r="E147">
        <v>575</v>
      </c>
      <c r="F147">
        <v>115</v>
      </c>
      <c r="G147">
        <v>370</v>
      </c>
      <c r="H147">
        <v>650</v>
      </c>
      <c r="I147">
        <v>700000</v>
      </c>
      <c r="J147">
        <v>260000</v>
      </c>
      <c r="K147">
        <v>0.31</v>
      </c>
      <c r="L147" t="s">
        <v>160</v>
      </c>
    </row>
    <row r="148" spans="1:12" x14ac:dyDescent="0.3">
      <c r="A148" t="s">
        <v>194</v>
      </c>
      <c r="B148" t="s">
        <v>35</v>
      </c>
      <c r="C148" t="s">
        <v>91</v>
      </c>
      <c r="D148">
        <v>675</v>
      </c>
      <c r="E148">
        <v>450</v>
      </c>
      <c r="F148">
        <v>115</v>
      </c>
      <c r="G148">
        <v>370</v>
      </c>
      <c r="H148">
        <v>550</v>
      </c>
      <c r="I148">
        <v>700000</v>
      </c>
      <c r="J148">
        <v>260000</v>
      </c>
      <c r="K148">
        <v>0.31</v>
      </c>
      <c r="L148" t="s">
        <v>160</v>
      </c>
    </row>
    <row r="149" spans="1:12" x14ac:dyDescent="0.3">
      <c r="A149" s="1" t="s">
        <v>194</v>
      </c>
      <c r="B149" s="1" t="s">
        <v>36</v>
      </c>
      <c r="C149" s="1" t="s">
        <v>91</v>
      </c>
      <c r="D149" s="1">
        <v>400</v>
      </c>
      <c r="E149" s="1">
        <v>250</v>
      </c>
      <c r="F149" s="1">
        <v>115</v>
      </c>
      <c r="G149" s="1">
        <v>370</v>
      </c>
      <c r="H149" s="1">
        <v>250</v>
      </c>
      <c r="I149" s="1">
        <v>600000</v>
      </c>
      <c r="J149" s="1">
        <v>220000</v>
      </c>
      <c r="K149" s="1">
        <v>0.31</v>
      </c>
      <c r="L149" s="1" t="s">
        <v>160</v>
      </c>
    </row>
    <row r="150" spans="1:12" x14ac:dyDescent="0.3">
      <c r="A150" t="s">
        <v>215</v>
      </c>
      <c r="B150" t="s">
        <v>44</v>
      </c>
      <c r="C150" t="s">
        <v>165</v>
      </c>
      <c r="D150">
        <v>1100</v>
      </c>
      <c r="E150">
        <v>725</v>
      </c>
      <c r="F150">
        <v>130</v>
      </c>
      <c r="G150">
        <v>535</v>
      </c>
      <c r="H150">
        <v>750</v>
      </c>
      <c r="I150">
        <v>1100000</v>
      </c>
      <c r="J150">
        <v>400000</v>
      </c>
      <c r="K150">
        <v>0.43</v>
      </c>
      <c r="L150" t="s">
        <v>161</v>
      </c>
    </row>
    <row r="151" spans="1:12" x14ac:dyDescent="0.3">
      <c r="A151" t="s">
        <v>215</v>
      </c>
      <c r="B151" t="s">
        <v>35</v>
      </c>
      <c r="C151" t="s">
        <v>165</v>
      </c>
      <c r="D151">
        <v>925</v>
      </c>
      <c r="E151">
        <v>500</v>
      </c>
      <c r="F151">
        <v>130</v>
      </c>
      <c r="G151">
        <v>535</v>
      </c>
      <c r="H151">
        <v>625</v>
      </c>
      <c r="I151">
        <v>1100000</v>
      </c>
      <c r="J151">
        <v>400000</v>
      </c>
      <c r="K151">
        <v>0.43</v>
      </c>
      <c r="L151" t="s">
        <v>161</v>
      </c>
    </row>
    <row r="152" spans="1:12" x14ac:dyDescent="0.3">
      <c r="A152" t="s">
        <v>215</v>
      </c>
      <c r="B152" t="s">
        <v>36</v>
      </c>
      <c r="C152" t="s">
        <v>165</v>
      </c>
      <c r="D152">
        <v>600</v>
      </c>
      <c r="E152">
        <v>300</v>
      </c>
      <c r="F152">
        <v>130</v>
      </c>
      <c r="G152">
        <v>535</v>
      </c>
      <c r="H152">
        <v>400</v>
      </c>
      <c r="I152">
        <v>900000</v>
      </c>
      <c r="J152">
        <v>330000</v>
      </c>
      <c r="K152">
        <v>0.43</v>
      </c>
      <c r="L152" t="s">
        <v>161</v>
      </c>
    </row>
    <row r="153" spans="1:12" x14ac:dyDescent="0.3">
      <c r="A153" t="s">
        <v>215</v>
      </c>
      <c r="B153" t="s">
        <v>44</v>
      </c>
      <c r="C153" t="s">
        <v>91</v>
      </c>
      <c r="D153">
        <v>1000</v>
      </c>
      <c r="E153">
        <v>675</v>
      </c>
      <c r="F153">
        <v>130</v>
      </c>
      <c r="G153">
        <v>535</v>
      </c>
      <c r="H153">
        <v>800</v>
      </c>
      <c r="I153">
        <v>1100000</v>
      </c>
      <c r="J153">
        <v>400000</v>
      </c>
      <c r="K153">
        <v>0.43</v>
      </c>
      <c r="L153" t="s">
        <v>161</v>
      </c>
    </row>
    <row r="154" spans="1:12" x14ac:dyDescent="0.3">
      <c r="A154" t="s">
        <v>215</v>
      </c>
      <c r="B154" t="s">
        <v>35</v>
      </c>
      <c r="C154" t="s">
        <v>91</v>
      </c>
      <c r="D154">
        <v>825</v>
      </c>
      <c r="E154">
        <v>550</v>
      </c>
      <c r="F154">
        <v>130</v>
      </c>
      <c r="G154">
        <v>535</v>
      </c>
      <c r="H154">
        <v>700</v>
      </c>
      <c r="I154">
        <v>1100000</v>
      </c>
      <c r="J154">
        <v>400000</v>
      </c>
      <c r="K154">
        <v>0.43</v>
      </c>
      <c r="L154" t="s">
        <v>161</v>
      </c>
    </row>
    <row r="155" spans="1:12" x14ac:dyDescent="0.3">
      <c r="A155" s="1" t="s">
        <v>215</v>
      </c>
      <c r="B155" s="1" t="s">
        <v>36</v>
      </c>
      <c r="C155" s="1" t="s">
        <v>91</v>
      </c>
      <c r="D155" s="1">
        <v>475</v>
      </c>
      <c r="E155" s="1">
        <v>325</v>
      </c>
      <c r="F155" s="1">
        <v>130</v>
      </c>
      <c r="G155" s="1">
        <v>535</v>
      </c>
      <c r="H155" s="1">
        <v>325</v>
      </c>
      <c r="I155" s="1">
        <v>900000</v>
      </c>
      <c r="J155" s="1">
        <v>330000</v>
      </c>
      <c r="K155" s="1">
        <v>0.43</v>
      </c>
      <c r="L155" s="1" t="s">
        <v>161</v>
      </c>
    </row>
    <row r="156" spans="1:12" x14ac:dyDescent="0.3">
      <c r="A156" t="s">
        <v>196</v>
      </c>
      <c r="B156" t="s">
        <v>44</v>
      </c>
      <c r="C156" t="s">
        <v>165</v>
      </c>
      <c r="D156">
        <v>1500</v>
      </c>
      <c r="E156">
        <v>875</v>
      </c>
      <c r="F156">
        <v>195</v>
      </c>
      <c r="G156">
        <v>615</v>
      </c>
      <c r="H156">
        <v>900</v>
      </c>
      <c r="I156">
        <v>1500000</v>
      </c>
      <c r="J156">
        <v>550000</v>
      </c>
      <c r="K156">
        <v>0.57999999999999996</v>
      </c>
      <c r="L156" t="s">
        <v>160</v>
      </c>
    </row>
    <row r="157" spans="1:12" x14ac:dyDescent="0.3">
      <c r="A157" t="s">
        <v>196</v>
      </c>
      <c r="B157" t="s">
        <v>35</v>
      </c>
      <c r="C157" t="s">
        <v>165</v>
      </c>
      <c r="D157">
        <v>1250</v>
      </c>
      <c r="E157">
        <v>625</v>
      </c>
      <c r="F157">
        <v>195</v>
      </c>
      <c r="G157">
        <v>615</v>
      </c>
      <c r="H157">
        <v>750</v>
      </c>
      <c r="I157">
        <v>1500000</v>
      </c>
      <c r="J157">
        <v>550000</v>
      </c>
      <c r="K157">
        <v>0.57999999999999996</v>
      </c>
      <c r="L157" t="s">
        <v>160</v>
      </c>
    </row>
    <row r="158" spans="1:12" x14ac:dyDescent="0.3">
      <c r="A158" t="s">
        <v>196</v>
      </c>
      <c r="B158" t="s">
        <v>36</v>
      </c>
      <c r="C158" t="s">
        <v>165</v>
      </c>
      <c r="D158">
        <v>800</v>
      </c>
      <c r="E158">
        <v>400</v>
      </c>
      <c r="F158">
        <v>195</v>
      </c>
      <c r="G158">
        <v>615</v>
      </c>
      <c r="H158">
        <v>475</v>
      </c>
      <c r="I158">
        <v>1200000</v>
      </c>
      <c r="J158">
        <v>440000</v>
      </c>
      <c r="K158">
        <v>0.57999999999999996</v>
      </c>
      <c r="L158" t="s">
        <v>160</v>
      </c>
    </row>
    <row r="159" spans="1:12" x14ac:dyDescent="0.3">
      <c r="A159" t="s">
        <v>196</v>
      </c>
      <c r="B159" t="s">
        <v>44</v>
      </c>
      <c r="C159" t="s">
        <v>91</v>
      </c>
      <c r="D159">
        <v>1400</v>
      </c>
      <c r="E159">
        <v>925</v>
      </c>
      <c r="F159">
        <v>195</v>
      </c>
      <c r="G159">
        <v>615</v>
      </c>
      <c r="H159">
        <v>950</v>
      </c>
      <c r="I159">
        <v>1500000</v>
      </c>
      <c r="J159">
        <v>550000</v>
      </c>
      <c r="K159">
        <v>0.57999999999999996</v>
      </c>
      <c r="L159" t="s">
        <v>160</v>
      </c>
    </row>
    <row r="160" spans="1:12" x14ac:dyDescent="0.3">
      <c r="A160" t="s">
        <v>196</v>
      </c>
      <c r="B160" t="s">
        <v>35</v>
      </c>
      <c r="C160" t="s">
        <v>91</v>
      </c>
      <c r="D160">
        <v>1150</v>
      </c>
      <c r="E160">
        <v>750</v>
      </c>
      <c r="F160">
        <v>195</v>
      </c>
      <c r="G160">
        <v>615</v>
      </c>
      <c r="H160">
        <v>825</v>
      </c>
      <c r="I160">
        <v>1500000</v>
      </c>
      <c r="J160">
        <v>550000</v>
      </c>
      <c r="K160">
        <v>0.57999999999999996</v>
      </c>
      <c r="L160" t="s">
        <v>160</v>
      </c>
    </row>
    <row r="161" spans="1:12" x14ac:dyDescent="0.3">
      <c r="A161" s="1" t="s">
        <v>196</v>
      </c>
      <c r="B161" s="1" t="s">
        <v>36</v>
      </c>
      <c r="C161" s="1" t="s">
        <v>91</v>
      </c>
      <c r="D161" s="1">
        <v>650</v>
      </c>
      <c r="E161" s="1">
        <v>425</v>
      </c>
      <c r="F161" s="1">
        <v>195</v>
      </c>
      <c r="G161" s="1">
        <v>615</v>
      </c>
      <c r="H161" s="1">
        <v>375</v>
      </c>
      <c r="I161" s="1">
        <v>1200000</v>
      </c>
      <c r="J161" s="1">
        <v>440000</v>
      </c>
      <c r="K161" s="1">
        <v>0.57999999999999996</v>
      </c>
      <c r="L161" s="1" t="s">
        <v>160</v>
      </c>
    </row>
    <row r="162" spans="1:12" x14ac:dyDescent="0.3">
      <c r="A162" t="s">
        <v>197</v>
      </c>
      <c r="B162" t="s">
        <v>44</v>
      </c>
      <c r="C162" t="s">
        <v>165</v>
      </c>
      <c r="D162">
        <v>1350</v>
      </c>
      <c r="E162">
        <v>800</v>
      </c>
      <c r="F162">
        <v>155</v>
      </c>
      <c r="G162">
        <v>820</v>
      </c>
      <c r="H162">
        <v>825</v>
      </c>
      <c r="I162">
        <v>1200000</v>
      </c>
      <c r="J162">
        <v>440000</v>
      </c>
      <c r="K162">
        <v>0.67</v>
      </c>
      <c r="L162" t="s">
        <v>160</v>
      </c>
    </row>
    <row r="163" spans="1:12" x14ac:dyDescent="0.3">
      <c r="A163" t="s">
        <v>197</v>
      </c>
      <c r="B163" t="s">
        <v>35</v>
      </c>
      <c r="C163" t="s">
        <v>165</v>
      </c>
      <c r="D163">
        <v>1150</v>
      </c>
      <c r="E163">
        <v>550</v>
      </c>
      <c r="F163">
        <v>155</v>
      </c>
      <c r="G163">
        <v>820</v>
      </c>
      <c r="H163">
        <v>700</v>
      </c>
      <c r="I163">
        <v>1200000</v>
      </c>
      <c r="J163">
        <v>440000</v>
      </c>
      <c r="K163">
        <v>0.67</v>
      </c>
      <c r="L163" t="s">
        <v>160</v>
      </c>
    </row>
    <row r="164" spans="1:12" x14ac:dyDescent="0.3">
      <c r="A164" t="s">
        <v>197</v>
      </c>
      <c r="B164" t="s">
        <v>36</v>
      </c>
      <c r="C164" t="s">
        <v>165</v>
      </c>
      <c r="D164">
        <v>725</v>
      </c>
      <c r="E164">
        <v>375</v>
      </c>
      <c r="F164">
        <v>155</v>
      </c>
      <c r="G164">
        <v>820</v>
      </c>
      <c r="H164">
        <v>450</v>
      </c>
      <c r="I164">
        <v>1000000</v>
      </c>
      <c r="J164">
        <v>370000</v>
      </c>
      <c r="K164">
        <v>0.67</v>
      </c>
      <c r="L164" t="s">
        <v>160</v>
      </c>
    </row>
    <row r="165" spans="1:12" x14ac:dyDescent="0.3">
      <c r="A165" t="s">
        <v>197</v>
      </c>
      <c r="B165" t="s">
        <v>44</v>
      </c>
      <c r="C165" t="s">
        <v>91</v>
      </c>
      <c r="D165">
        <v>1250</v>
      </c>
      <c r="E165">
        <v>850</v>
      </c>
      <c r="F165">
        <v>155</v>
      </c>
      <c r="G165">
        <v>820</v>
      </c>
      <c r="H165">
        <v>875</v>
      </c>
      <c r="I165">
        <v>1200000</v>
      </c>
      <c r="J165">
        <v>440000</v>
      </c>
      <c r="K165">
        <v>0.67</v>
      </c>
      <c r="L165" t="s">
        <v>160</v>
      </c>
    </row>
    <row r="166" spans="1:12" x14ac:dyDescent="0.3">
      <c r="A166" t="s">
        <v>197</v>
      </c>
      <c r="B166" t="s">
        <v>35</v>
      </c>
      <c r="C166" t="s">
        <v>91</v>
      </c>
      <c r="D166">
        <v>1000</v>
      </c>
      <c r="E166">
        <v>675</v>
      </c>
      <c r="F166">
        <v>155</v>
      </c>
      <c r="G166">
        <v>820</v>
      </c>
      <c r="H166">
        <v>775</v>
      </c>
      <c r="I166">
        <v>1200000</v>
      </c>
      <c r="J166">
        <v>440000</v>
      </c>
      <c r="K166">
        <v>0.67</v>
      </c>
      <c r="L166" t="s">
        <v>160</v>
      </c>
    </row>
    <row r="167" spans="1:12" x14ac:dyDescent="0.3">
      <c r="A167" s="1" t="s">
        <v>197</v>
      </c>
      <c r="B167" s="1" t="s">
        <v>36</v>
      </c>
      <c r="C167" s="1" t="s">
        <v>91</v>
      </c>
      <c r="D167" s="1">
        <v>575</v>
      </c>
      <c r="E167" s="1">
        <v>400</v>
      </c>
      <c r="F167" s="1">
        <v>155</v>
      </c>
      <c r="G167" s="1">
        <v>820</v>
      </c>
      <c r="H167" s="1">
        <v>350</v>
      </c>
      <c r="I167" s="1">
        <v>1000000</v>
      </c>
      <c r="J167" s="1">
        <v>370000</v>
      </c>
      <c r="K167" s="1">
        <v>0.67</v>
      </c>
      <c r="L167" s="1" t="s">
        <v>160</v>
      </c>
    </row>
    <row r="168" spans="1:12" x14ac:dyDescent="0.3">
      <c r="A168" t="s">
        <v>216</v>
      </c>
      <c r="B168" t="s">
        <v>44</v>
      </c>
      <c r="C168" t="s">
        <v>165</v>
      </c>
      <c r="D168">
        <v>1050</v>
      </c>
      <c r="E168">
        <v>625</v>
      </c>
      <c r="F168">
        <v>130</v>
      </c>
      <c r="G168">
        <v>440</v>
      </c>
      <c r="H168">
        <v>725</v>
      </c>
      <c r="I168">
        <v>1100000</v>
      </c>
      <c r="J168">
        <v>400000</v>
      </c>
      <c r="K168">
        <v>0.44</v>
      </c>
      <c r="L168" t="s">
        <v>161</v>
      </c>
    </row>
    <row r="169" spans="1:12" x14ac:dyDescent="0.3">
      <c r="A169" t="s">
        <v>216</v>
      </c>
      <c r="B169" t="s">
        <v>35</v>
      </c>
      <c r="C169" t="s">
        <v>165</v>
      </c>
      <c r="D169">
        <v>875</v>
      </c>
      <c r="E169">
        <v>450</v>
      </c>
      <c r="F169">
        <v>130</v>
      </c>
      <c r="G169">
        <v>440</v>
      </c>
      <c r="H169">
        <v>600</v>
      </c>
      <c r="I169">
        <v>1100000</v>
      </c>
      <c r="J169">
        <v>400000</v>
      </c>
      <c r="K169">
        <v>0.44</v>
      </c>
      <c r="L169" t="s">
        <v>161</v>
      </c>
    </row>
    <row r="170" spans="1:12" x14ac:dyDescent="0.3">
      <c r="A170" t="s">
        <v>216</v>
      </c>
      <c r="B170" t="s">
        <v>36</v>
      </c>
      <c r="C170" t="s">
        <v>165</v>
      </c>
      <c r="D170">
        <v>575</v>
      </c>
      <c r="E170">
        <v>300</v>
      </c>
      <c r="F170">
        <v>130</v>
      </c>
      <c r="G170">
        <v>440</v>
      </c>
      <c r="H170">
        <v>375</v>
      </c>
      <c r="I170">
        <v>900000</v>
      </c>
      <c r="J170">
        <v>330000</v>
      </c>
      <c r="K170">
        <v>0.44</v>
      </c>
      <c r="L170" t="s">
        <v>161</v>
      </c>
    </row>
    <row r="171" spans="1:12" x14ac:dyDescent="0.3">
      <c r="A171" t="s">
        <v>216</v>
      </c>
      <c r="B171" t="s">
        <v>44</v>
      </c>
      <c r="C171" t="s">
        <v>91</v>
      </c>
      <c r="D171">
        <v>1000</v>
      </c>
      <c r="E171">
        <v>675</v>
      </c>
      <c r="F171">
        <v>130</v>
      </c>
      <c r="G171">
        <v>440</v>
      </c>
      <c r="H171">
        <v>775</v>
      </c>
      <c r="I171">
        <v>1100000</v>
      </c>
      <c r="J171">
        <v>400000</v>
      </c>
      <c r="K171">
        <v>0.44</v>
      </c>
      <c r="L171" t="s">
        <v>161</v>
      </c>
    </row>
    <row r="172" spans="1:12" x14ac:dyDescent="0.3">
      <c r="A172" t="s">
        <v>216</v>
      </c>
      <c r="B172" t="s">
        <v>35</v>
      </c>
      <c r="C172" t="s">
        <v>91</v>
      </c>
      <c r="D172">
        <v>800</v>
      </c>
      <c r="E172">
        <v>550</v>
      </c>
      <c r="F172">
        <v>130</v>
      </c>
      <c r="G172">
        <v>440</v>
      </c>
      <c r="H172">
        <v>675</v>
      </c>
      <c r="I172">
        <v>1100000</v>
      </c>
      <c r="J172">
        <v>400000</v>
      </c>
      <c r="K172">
        <v>0.44</v>
      </c>
      <c r="L172" t="s">
        <v>161</v>
      </c>
    </row>
    <row r="173" spans="1:12" x14ac:dyDescent="0.3">
      <c r="A173" s="1" t="s">
        <v>216</v>
      </c>
      <c r="B173" s="1" t="s">
        <v>36</v>
      </c>
      <c r="C173" s="1" t="s">
        <v>91</v>
      </c>
      <c r="D173" s="1">
        <v>475</v>
      </c>
      <c r="E173" s="1">
        <v>325</v>
      </c>
      <c r="F173" s="1">
        <v>130</v>
      </c>
      <c r="G173" s="1">
        <v>440</v>
      </c>
      <c r="H173" s="1">
        <v>475</v>
      </c>
      <c r="I173" s="1">
        <v>900000</v>
      </c>
      <c r="J173" s="1">
        <v>330000</v>
      </c>
      <c r="K173" s="1">
        <v>0.44</v>
      </c>
      <c r="L173" s="1" t="s">
        <v>161</v>
      </c>
    </row>
    <row r="174" spans="1:12" x14ac:dyDescent="0.3">
      <c r="A174" t="s">
        <v>198</v>
      </c>
      <c r="B174" t="s">
        <v>44</v>
      </c>
      <c r="C174" t="s">
        <v>165</v>
      </c>
      <c r="D174">
        <v>1100</v>
      </c>
      <c r="E174">
        <v>750</v>
      </c>
      <c r="F174">
        <v>145</v>
      </c>
      <c r="G174">
        <v>420</v>
      </c>
      <c r="H174">
        <v>900</v>
      </c>
      <c r="I174">
        <v>1000000</v>
      </c>
      <c r="J174">
        <v>370000</v>
      </c>
      <c r="K174">
        <v>0.37</v>
      </c>
      <c r="L174" t="s">
        <v>163</v>
      </c>
    </row>
    <row r="175" spans="1:12" x14ac:dyDescent="0.3">
      <c r="A175" t="s">
        <v>198</v>
      </c>
      <c r="B175" t="s">
        <v>35</v>
      </c>
      <c r="C175" t="s">
        <v>165</v>
      </c>
      <c r="D175">
        <v>950</v>
      </c>
      <c r="E175">
        <v>650</v>
      </c>
      <c r="F175">
        <v>145</v>
      </c>
      <c r="G175">
        <v>420</v>
      </c>
      <c r="H175">
        <v>800</v>
      </c>
      <c r="I175">
        <v>1000000</v>
      </c>
      <c r="J175">
        <v>370000</v>
      </c>
      <c r="K175">
        <v>0.37</v>
      </c>
      <c r="L175" t="s">
        <v>163</v>
      </c>
    </row>
    <row r="176" spans="1:12" x14ac:dyDescent="0.3">
      <c r="A176" t="s">
        <v>198</v>
      </c>
      <c r="B176" t="s">
        <v>36</v>
      </c>
      <c r="C176" t="s">
        <v>165</v>
      </c>
      <c r="D176">
        <v>750</v>
      </c>
      <c r="E176">
        <v>400</v>
      </c>
      <c r="F176">
        <v>145</v>
      </c>
      <c r="G176">
        <v>420</v>
      </c>
      <c r="H176">
        <v>650</v>
      </c>
      <c r="I176">
        <v>900000</v>
      </c>
      <c r="J176">
        <v>330000</v>
      </c>
      <c r="K176">
        <v>0.37</v>
      </c>
      <c r="L176" t="s">
        <v>163</v>
      </c>
    </row>
    <row r="177" spans="1:12" x14ac:dyDescent="0.3">
      <c r="A177" t="s">
        <v>198</v>
      </c>
      <c r="B177" t="s">
        <v>44</v>
      </c>
      <c r="C177" t="s">
        <v>91</v>
      </c>
      <c r="D177">
        <v>1100</v>
      </c>
      <c r="E177">
        <v>750</v>
      </c>
      <c r="F177">
        <v>145</v>
      </c>
      <c r="G177">
        <v>420</v>
      </c>
      <c r="H177">
        <v>900</v>
      </c>
      <c r="I177">
        <v>1000000</v>
      </c>
      <c r="J177">
        <v>370000</v>
      </c>
      <c r="K177">
        <v>0.37</v>
      </c>
      <c r="L177" t="s">
        <v>163</v>
      </c>
    </row>
    <row r="178" spans="1:12" x14ac:dyDescent="0.3">
      <c r="A178" t="s">
        <v>198</v>
      </c>
      <c r="B178" t="s">
        <v>35</v>
      </c>
      <c r="C178" t="s">
        <v>91</v>
      </c>
      <c r="D178">
        <v>950</v>
      </c>
      <c r="E178">
        <v>650</v>
      </c>
      <c r="F178">
        <v>145</v>
      </c>
      <c r="G178">
        <v>420</v>
      </c>
      <c r="H178">
        <v>800</v>
      </c>
      <c r="I178">
        <v>1000000</v>
      </c>
      <c r="J178">
        <v>370000</v>
      </c>
      <c r="K178">
        <v>0.37</v>
      </c>
      <c r="L178" t="s">
        <v>163</v>
      </c>
    </row>
    <row r="179" spans="1:12" x14ac:dyDescent="0.3">
      <c r="A179" s="1" t="s">
        <v>198</v>
      </c>
      <c r="B179" s="1" t="s">
        <v>36</v>
      </c>
      <c r="C179" s="1" t="s">
        <v>91</v>
      </c>
      <c r="D179" s="1">
        <v>750</v>
      </c>
      <c r="E179" s="1">
        <v>400</v>
      </c>
      <c r="F179" s="1">
        <v>145</v>
      </c>
      <c r="G179" s="1">
        <v>420</v>
      </c>
      <c r="H179" s="1">
        <v>650</v>
      </c>
      <c r="I179" s="1">
        <v>900000</v>
      </c>
      <c r="J179" s="1">
        <v>330000</v>
      </c>
      <c r="K179" s="1">
        <v>0.37</v>
      </c>
      <c r="L179" s="1" t="s">
        <v>163</v>
      </c>
    </row>
    <row r="180" spans="1:12" x14ac:dyDescent="0.3">
      <c r="A180" t="s">
        <v>217</v>
      </c>
      <c r="B180" t="s">
        <v>44</v>
      </c>
      <c r="C180" t="s">
        <v>165</v>
      </c>
      <c r="D180">
        <v>1200</v>
      </c>
      <c r="E180">
        <v>675</v>
      </c>
      <c r="F180">
        <v>140</v>
      </c>
      <c r="G180">
        <v>435</v>
      </c>
      <c r="H180">
        <v>825</v>
      </c>
      <c r="I180">
        <v>1300000</v>
      </c>
      <c r="J180">
        <v>470000</v>
      </c>
      <c r="K180">
        <v>0.43</v>
      </c>
      <c r="L180" t="s">
        <v>155</v>
      </c>
    </row>
    <row r="181" spans="1:12" x14ac:dyDescent="0.3">
      <c r="A181" t="s">
        <v>217</v>
      </c>
      <c r="B181" t="s">
        <v>35</v>
      </c>
      <c r="C181" t="s">
        <v>165</v>
      </c>
      <c r="D181">
        <v>1000</v>
      </c>
      <c r="E181">
        <v>500</v>
      </c>
      <c r="F181">
        <v>140</v>
      </c>
      <c r="G181">
        <v>435</v>
      </c>
      <c r="H181">
        <v>675</v>
      </c>
      <c r="I181">
        <v>1300000</v>
      </c>
      <c r="J181">
        <v>470000</v>
      </c>
      <c r="K181">
        <v>0.43</v>
      </c>
      <c r="L181" t="s">
        <v>155</v>
      </c>
    </row>
    <row r="182" spans="1:12" x14ac:dyDescent="0.3">
      <c r="A182" t="s">
        <v>217</v>
      </c>
      <c r="B182" t="s">
        <v>36</v>
      </c>
      <c r="C182" t="s">
        <v>165</v>
      </c>
      <c r="D182">
        <v>650</v>
      </c>
      <c r="E182">
        <v>325</v>
      </c>
      <c r="F182">
        <v>140</v>
      </c>
      <c r="G182">
        <v>435</v>
      </c>
      <c r="H182">
        <v>450</v>
      </c>
      <c r="I182">
        <v>1000000</v>
      </c>
      <c r="J182">
        <v>370000</v>
      </c>
      <c r="K182">
        <v>0.43</v>
      </c>
      <c r="L182" t="s">
        <v>155</v>
      </c>
    </row>
    <row r="183" spans="1:12" x14ac:dyDescent="0.3">
      <c r="A183" t="s">
        <v>217</v>
      </c>
      <c r="B183" t="s">
        <v>44</v>
      </c>
      <c r="C183" t="s">
        <v>91</v>
      </c>
      <c r="D183">
        <v>1150</v>
      </c>
      <c r="E183">
        <v>750</v>
      </c>
      <c r="F183">
        <v>140</v>
      </c>
      <c r="G183">
        <v>435</v>
      </c>
      <c r="H183">
        <v>875</v>
      </c>
      <c r="I183">
        <v>1300000</v>
      </c>
      <c r="J183">
        <v>470000</v>
      </c>
      <c r="K183">
        <v>0.43</v>
      </c>
      <c r="L183" t="s">
        <v>155</v>
      </c>
    </row>
    <row r="184" spans="1:12" x14ac:dyDescent="0.3">
      <c r="A184" t="s">
        <v>217</v>
      </c>
      <c r="B184" t="s">
        <v>35</v>
      </c>
      <c r="C184" t="s">
        <v>91</v>
      </c>
      <c r="D184">
        <v>925</v>
      </c>
      <c r="E184">
        <v>600</v>
      </c>
      <c r="F184">
        <v>140</v>
      </c>
      <c r="G184">
        <v>435</v>
      </c>
      <c r="H184">
        <v>750</v>
      </c>
      <c r="I184">
        <v>1300000</v>
      </c>
      <c r="J184">
        <v>470000</v>
      </c>
      <c r="K184">
        <v>0.43</v>
      </c>
      <c r="L184" t="s">
        <v>155</v>
      </c>
    </row>
    <row r="185" spans="1:12" x14ac:dyDescent="0.3">
      <c r="A185" t="s">
        <v>217</v>
      </c>
      <c r="B185" t="s">
        <v>36</v>
      </c>
      <c r="C185" t="s">
        <v>91</v>
      </c>
      <c r="D185">
        <v>550</v>
      </c>
      <c r="E185">
        <v>350</v>
      </c>
      <c r="F185">
        <v>140</v>
      </c>
      <c r="G185">
        <v>435</v>
      </c>
      <c r="H185">
        <v>525</v>
      </c>
      <c r="I185">
        <v>1000000</v>
      </c>
      <c r="J185">
        <v>370000</v>
      </c>
      <c r="K185">
        <v>0.43</v>
      </c>
      <c r="L185" t="s">
        <v>155</v>
      </c>
    </row>
    <row r="186" spans="1:12" x14ac:dyDescent="0.3">
      <c r="A186" t="s">
        <v>217</v>
      </c>
      <c r="B186" t="s">
        <v>44</v>
      </c>
      <c r="C186" t="s">
        <v>165</v>
      </c>
      <c r="D186">
        <v>1200</v>
      </c>
      <c r="E186">
        <v>675</v>
      </c>
      <c r="F186">
        <v>140</v>
      </c>
      <c r="G186">
        <v>435</v>
      </c>
      <c r="H186">
        <v>825</v>
      </c>
      <c r="I186">
        <v>1300000</v>
      </c>
      <c r="J186">
        <v>470000</v>
      </c>
      <c r="K186">
        <v>0.43</v>
      </c>
      <c r="L186" t="s">
        <v>156</v>
      </c>
    </row>
    <row r="187" spans="1:12" x14ac:dyDescent="0.3">
      <c r="A187" t="s">
        <v>217</v>
      </c>
      <c r="B187" t="s">
        <v>35</v>
      </c>
      <c r="C187" t="s">
        <v>165</v>
      </c>
      <c r="D187">
        <v>1000</v>
      </c>
      <c r="E187">
        <v>500</v>
      </c>
      <c r="F187">
        <v>140</v>
      </c>
      <c r="G187">
        <v>435</v>
      </c>
      <c r="H187">
        <v>675</v>
      </c>
      <c r="I187">
        <v>1300000</v>
      </c>
      <c r="J187">
        <v>470000</v>
      </c>
      <c r="K187">
        <v>0.43</v>
      </c>
      <c r="L187" t="s">
        <v>156</v>
      </c>
    </row>
    <row r="188" spans="1:12" x14ac:dyDescent="0.3">
      <c r="A188" t="s">
        <v>217</v>
      </c>
      <c r="B188" t="s">
        <v>36</v>
      </c>
      <c r="C188" t="s">
        <v>165</v>
      </c>
      <c r="D188">
        <v>650</v>
      </c>
      <c r="E188">
        <v>325</v>
      </c>
      <c r="F188">
        <v>140</v>
      </c>
      <c r="G188">
        <v>435</v>
      </c>
      <c r="H188">
        <v>450</v>
      </c>
      <c r="I188">
        <v>1100000</v>
      </c>
      <c r="J188">
        <v>400000</v>
      </c>
      <c r="K188">
        <v>0.43</v>
      </c>
      <c r="L188" t="s">
        <v>156</v>
      </c>
    </row>
    <row r="189" spans="1:12" x14ac:dyDescent="0.3">
      <c r="A189" t="s">
        <v>217</v>
      </c>
      <c r="B189" t="s">
        <v>44</v>
      </c>
      <c r="C189" t="s">
        <v>91</v>
      </c>
      <c r="D189">
        <v>1150</v>
      </c>
      <c r="E189">
        <v>750</v>
      </c>
      <c r="F189">
        <v>140</v>
      </c>
      <c r="G189">
        <v>435</v>
      </c>
      <c r="H189">
        <v>875</v>
      </c>
      <c r="I189">
        <v>1300000</v>
      </c>
      <c r="J189">
        <v>470000</v>
      </c>
      <c r="K189">
        <v>0.43</v>
      </c>
      <c r="L189" t="s">
        <v>156</v>
      </c>
    </row>
    <row r="190" spans="1:12" x14ac:dyDescent="0.3">
      <c r="A190" t="s">
        <v>217</v>
      </c>
      <c r="B190" t="s">
        <v>35</v>
      </c>
      <c r="C190" t="s">
        <v>91</v>
      </c>
      <c r="D190">
        <v>925</v>
      </c>
      <c r="E190">
        <v>600</v>
      </c>
      <c r="F190">
        <v>140</v>
      </c>
      <c r="G190">
        <v>435</v>
      </c>
      <c r="H190">
        <v>750</v>
      </c>
      <c r="I190">
        <v>1300000</v>
      </c>
      <c r="J190">
        <v>470000</v>
      </c>
      <c r="K190">
        <v>0.43</v>
      </c>
      <c r="L190" t="s">
        <v>156</v>
      </c>
    </row>
    <row r="191" spans="1:12" x14ac:dyDescent="0.3">
      <c r="A191" s="1" t="s">
        <v>217</v>
      </c>
      <c r="B191" s="1" t="s">
        <v>36</v>
      </c>
      <c r="C191" s="1" t="s">
        <v>91</v>
      </c>
      <c r="D191" s="1">
        <v>550</v>
      </c>
      <c r="E191" s="1">
        <v>350</v>
      </c>
      <c r="F191" s="1">
        <v>140</v>
      </c>
      <c r="G191" s="1">
        <v>435</v>
      </c>
      <c r="H191" s="1">
        <v>525</v>
      </c>
      <c r="I191" s="1">
        <v>1100000</v>
      </c>
      <c r="J191" s="1">
        <v>400000</v>
      </c>
      <c r="K191" s="1">
        <v>0.43</v>
      </c>
      <c r="L191" s="1" t="s">
        <v>156</v>
      </c>
    </row>
    <row r="192" spans="1:12" x14ac:dyDescent="0.3">
      <c r="A192" t="s">
        <v>218</v>
      </c>
      <c r="B192" t="s">
        <v>166</v>
      </c>
      <c r="C192" t="s">
        <v>165</v>
      </c>
      <c r="D192">
        <v>1750</v>
      </c>
      <c r="E192">
        <v>1200</v>
      </c>
      <c r="F192">
        <v>165</v>
      </c>
      <c r="G192">
        <v>440</v>
      </c>
      <c r="H192">
        <v>1100</v>
      </c>
      <c r="I192">
        <v>1600000</v>
      </c>
      <c r="J192">
        <v>580000</v>
      </c>
      <c r="K192">
        <v>0.55000000000000004</v>
      </c>
      <c r="L192" t="s">
        <v>159</v>
      </c>
    </row>
    <row r="193" spans="1:12" x14ac:dyDescent="0.3">
      <c r="A193" t="s">
        <v>218</v>
      </c>
      <c r="B193" t="s">
        <v>44</v>
      </c>
      <c r="C193" t="s">
        <v>165</v>
      </c>
      <c r="D193">
        <v>1500</v>
      </c>
      <c r="E193">
        <v>1000</v>
      </c>
      <c r="F193">
        <v>165</v>
      </c>
      <c r="G193">
        <v>375</v>
      </c>
      <c r="H193">
        <v>950</v>
      </c>
      <c r="I193">
        <v>1500000</v>
      </c>
      <c r="J193">
        <v>550000</v>
      </c>
      <c r="K193">
        <v>0.55000000000000004</v>
      </c>
      <c r="L193" t="s">
        <v>159</v>
      </c>
    </row>
    <row r="194" spans="1:12" x14ac:dyDescent="0.3">
      <c r="A194" t="s">
        <v>218</v>
      </c>
      <c r="B194" t="s">
        <v>167</v>
      </c>
      <c r="C194" t="s">
        <v>165</v>
      </c>
      <c r="D194">
        <v>1550</v>
      </c>
      <c r="E194">
        <v>1050</v>
      </c>
      <c r="F194">
        <v>165</v>
      </c>
      <c r="G194">
        <v>440</v>
      </c>
      <c r="H194">
        <v>975</v>
      </c>
      <c r="I194">
        <v>1600000</v>
      </c>
      <c r="J194">
        <v>580000</v>
      </c>
      <c r="K194">
        <v>0.55000000000000004</v>
      </c>
      <c r="L194" t="s">
        <v>159</v>
      </c>
    </row>
    <row r="195" spans="1:12" x14ac:dyDescent="0.3">
      <c r="A195" t="s">
        <v>218</v>
      </c>
      <c r="B195" t="s">
        <v>35</v>
      </c>
      <c r="C195" t="s">
        <v>165</v>
      </c>
      <c r="D195">
        <v>1350</v>
      </c>
      <c r="E195">
        <v>900</v>
      </c>
      <c r="F195">
        <v>165</v>
      </c>
      <c r="G195">
        <v>375</v>
      </c>
      <c r="H195">
        <v>825</v>
      </c>
      <c r="I195">
        <v>1500000</v>
      </c>
      <c r="J195">
        <v>550000</v>
      </c>
      <c r="K195">
        <v>0.55000000000000004</v>
      </c>
      <c r="L195" t="s">
        <v>159</v>
      </c>
    </row>
    <row r="196" spans="1:12" x14ac:dyDescent="0.3">
      <c r="A196" t="s">
        <v>218</v>
      </c>
      <c r="B196" t="s">
        <v>168</v>
      </c>
      <c r="C196" t="s">
        <v>165</v>
      </c>
      <c r="D196">
        <v>975</v>
      </c>
      <c r="E196">
        <v>650</v>
      </c>
      <c r="F196">
        <v>165</v>
      </c>
      <c r="G196">
        <v>440</v>
      </c>
      <c r="H196">
        <v>625</v>
      </c>
      <c r="I196">
        <v>1300000</v>
      </c>
      <c r="J196">
        <v>470000</v>
      </c>
      <c r="K196">
        <v>0.55000000000000004</v>
      </c>
      <c r="L196" t="s">
        <v>159</v>
      </c>
    </row>
    <row r="197" spans="1:12" x14ac:dyDescent="0.3">
      <c r="A197" t="s">
        <v>218</v>
      </c>
      <c r="B197" t="s">
        <v>36</v>
      </c>
      <c r="C197" t="s">
        <v>165</v>
      </c>
      <c r="D197">
        <v>850</v>
      </c>
      <c r="E197">
        <v>550</v>
      </c>
      <c r="F197">
        <v>165</v>
      </c>
      <c r="G197">
        <v>375</v>
      </c>
      <c r="H197">
        <v>525</v>
      </c>
      <c r="I197">
        <v>1200000</v>
      </c>
      <c r="J197">
        <v>440000</v>
      </c>
      <c r="K197">
        <v>0.55000000000000004</v>
      </c>
      <c r="L197" t="s">
        <v>159</v>
      </c>
    </row>
    <row r="198" spans="1:12" x14ac:dyDescent="0.3">
      <c r="A198" t="s">
        <v>218</v>
      </c>
      <c r="B198" t="s">
        <v>169</v>
      </c>
      <c r="C198" t="s">
        <v>165</v>
      </c>
      <c r="D198">
        <v>2100</v>
      </c>
      <c r="E198">
        <v>1400</v>
      </c>
      <c r="F198">
        <v>165</v>
      </c>
      <c r="G198">
        <v>440</v>
      </c>
      <c r="H198">
        <v>1300</v>
      </c>
      <c r="I198">
        <v>1600000</v>
      </c>
      <c r="J198">
        <v>580000</v>
      </c>
      <c r="K198">
        <v>0.55000000000000004</v>
      </c>
      <c r="L198" t="s">
        <v>159</v>
      </c>
    </row>
    <row r="199" spans="1:12" x14ac:dyDescent="0.3">
      <c r="A199" t="s">
        <v>218</v>
      </c>
      <c r="B199" t="s">
        <v>170</v>
      </c>
      <c r="C199" t="s">
        <v>165</v>
      </c>
      <c r="D199">
        <v>1750</v>
      </c>
      <c r="E199">
        <v>1200</v>
      </c>
      <c r="F199">
        <v>165</v>
      </c>
      <c r="G199">
        <v>440</v>
      </c>
      <c r="H199">
        <v>1100</v>
      </c>
      <c r="I199">
        <v>1600000</v>
      </c>
      <c r="J199">
        <v>580000</v>
      </c>
      <c r="K199">
        <v>0.55000000000000004</v>
      </c>
      <c r="L199" t="s">
        <v>159</v>
      </c>
    </row>
    <row r="200" spans="1:12" x14ac:dyDescent="0.3">
      <c r="A200" t="s">
        <v>218</v>
      </c>
      <c r="B200" t="s">
        <v>171</v>
      </c>
      <c r="C200" t="s">
        <v>165</v>
      </c>
      <c r="D200">
        <v>1600</v>
      </c>
      <c r="E200">
        <v>1050</v>
      </c>
      <c r="F200">
        <v>165</v>
      </c>
      <c r="G200">
        <v>440</v>
      </c>
      <c r="H200">
        <v>1000</v>
      </c>
      <c r="I200">
        <v>1600000</v>
      </c>
      <c r="J200">
        <v>580000</v>
      </c>
      <c r="K200">
        <v>0.55000000000000004</v>
      </c>
      <c r="L200" t="s">
        <v>159</v>
      </c>
    </row>
    <row r="201" spans="1:12" x14ac:dyDescent="0.3">
      <c r="A201" t="s">
        <v>218</v>
      </c>
      <c r="B201" t="s">
        <v>166</v>
      </c>
      <c r="C201" t="s">
        <v>91</v>
      </c>
      <c r="D201">
        <v>1750</v>
      </c>
      <c r="E201">
        <v>1200</v>
      </c>
      <c r="F201">
        <v>165</v>
      </c>
      <c r="G201">
        <v>440</v>
      </c>
      <c r="H201">
        <v>1100</v>
      </c>
      <c r="I201">
        <v>1600000</v>
      </c>
      <c r="J201">
        <v>580000</v>
      </c>
      <c r="K201">
        <v>0.55000000000000004</v>
      </c>
      <c r="L201" t="s">
        <v>159</v>
      </c>
    </row>
    <row r="202" spans="1:12" x14ac:dyDescent="0.3">
      <c r="A202" t="s">
        <v>218</v>
      </c>
      <c r="B202" t="s">
        <v>44</v>
      </c>
      <c r="C202" t="s">
        <v>91</v>
      </c>
      <c r="D202">
        <v>1500</v>
      </c>
      <c r="E202">
        <v>1000</v>
      </c>
      <c r="F202">
        <v>165</v>
      </c>
      <c r="G202">
        <v>375</v>
      </c>
      <c r="H202">
        <v>950</v>
      </c>
      <c r="I202">
        <v>1500000</v>
      </c>
      <c r="J202">
        <v>550000</v>
      </c>
      <c r="K202">
        <v>0.55000000000000004</v>
      </c>
      <c r="L202" t="s">
        <v>159</v>
      </c>
    </row>
    <row r="203" spans="1:12" x14ac:dyDescent="0.3">
      <c r="A203" t="s">
        <v>218</v>
      </c>
      <c r="B203" t="s">
        <v>167</v>
      </c>
      <c r="C203" t="s">
        <v>91</v>
      </c>
      <c r="D203">
        <v>1550</v>
      </c>
      <c r="E203">
        <v>1050</v>
      </c>
      <c r="F203">
        <v>165</v>
      </c>
      <c r="G203">
        <v>440</v>
      </c>
      <c r="H203">
        <v>975</v>
      </c>
      <c r="I203">
        <v>1600000</v>
      </c>
      <c r="J203">
        <v>580000</v>
      </c>
      <c r="K203">
        <v>0.55000000000000004</v>
      </c>
      <c r="L203" t="s">
        <v>159</v>
      </c>
    </row>
    <row r="204" spans="1:12" x14ac:dyDescent="0.3">
      <c r="A204" t="s">
        <v>218</v>
      </c>
      <c r="B204" t="s">
        <v>35</v>
      </c>
      <c r="C204" t="s">
        <v>91</v>
      </c>
      <c r="D204">
        <v>1350</v>
      </c>
      <c r="E204">
        <v>900</v>
      </c>
      <c r="F204">
        <v>165</v>
      </c>
      <c r="G204">
        <v>375</v>
      </c>
      <c r="H204">
        <v>825</v>
      </c>
      <c r="I204">
        <v>1500000</v>
      </c>
      <c r="J204">
        <v>550000</v>
      </c>
      <c r="K204">
        <v>0.55000000000000004</v>
      </c>
      <c r="L204" t="s">
        <v>159</v>
      </c>
    </row>
    <row r="205" spans="1:12" x14ac:dyDescent="0.3">
      <c r="A205" t="s">
        <v>218</v>
      </c>
      <c r="B205" t="s">
        <v>168</v>
      </c>
      <c r="C205" t="s">
        <v>91</v>
      </c>
      <c r="D205">
        <v>975</v>
      </c>
      <c r="E205">
        <v>650</v>
      </c>
      <c r="F205">
        <v>165</v>
      </c>
      <c r="G205">
        <v>440</v>
      </c>
      <c r="H205">
        <v>625</v>
      </c>
      <c r="I205">
        <v>1300000</v>
      </c>
      <c r="J205">
        <v>470000</v>
      </c>
      <c r="K205">
        <v>0.55000000000000004</v>
      </c>
      <c r="L205" t="s">
        <v>159</v>
      </c>
    </row>
    <row r="206" spans="1:12" x14ac:dyDescent="0.3">
      <c r="A206" t="s">
        <v>218</v>
      </c>
      <c r="B206" t="s">
        <v>36</v>
      </c>
      <c r="C206" t="s">
        <v>91</v>
      </c>
      <c r="D206">
        <v>850</v>
      </c>
      <c r="E206">
        <v>550</v>
      </c>
      <c r="F206">
        <v>165</v>
      </c>
      <c r="G206">
        <v>375</v>
      </c>
      <c r="H206">
        <v>525</v>
      </c>
      <c r="I206">
        <v>1200000</v>
      </c>
      <c r="J206">
        <v>440000</v>
      </c>
      <c r="K206">
        <v>0.55000000000000004</v>
      </c>
      <c r="L206" t="s">
        <v>159</v>
      </c>
    </row>
    <row r="207" spans="1:12" x14ac:dyDescent="0.3">
      <c r="A207" t="s">
        <v>218</v>
      </c>
      <c r="B207" t="s">
        <v>169</v>
      </c>
      <c r="C207" t="s">
        <v>91</v>
      </c>
      <c r="D207">
        <v>2100</v>
      </c>
      <c r="E207">
        <v>1400</v>
      </c>
      <c r="F207">
        <v>165</v>
      </c>
      <c r="G207">
        <v>440</v>
      </c>
      <c r="H207">
        <v>1300</v>
      </c>
      <c r="I207">
        <v>1600000</v>
      </c>
      <c r="J207">
        <v>580000</v>
      </c>
      <c r="K207">
        <v>0.55000000000000004</v>
      </c>
      <c r="L207" t="s">
        <v>159</v>
      </c>
    </row>
    <row r="208" spans="1:12" x14ac:dyDescent="0.3">
      <c r="A208" t="s">
        <v>218</v>
      </c>
      <c r="B208" t="s">
        <v>170</v>
      </c>
      <c r="C208" t="s">
        <v>91</v>
      </c>
      <c r="D208">
        <v>1750</v>
      </c>
      <c r="E208">
        <v>1200</v>
      </c>
      <c r="F208">
        <v>165</v>
      </c>
      <c r="G208">
        <v>440</v>
      </c>
      <c r="H208">
        <v>1100</v>
      </c>
      <c r="I208">
        <v>1600000</v>
      </c>
      <c r="J208">
        <v>580000</v>
      </c>
      <c r="K208">
        <v>0.55000000000000004</v>
      </c>
      <c r="L208" t="s">
        <v>159</v>
      </c>
    </row>
    <row r="209" spans="1:12" x14ac:dyDescent="0.3">
      <c r="A209" s="1" t="s">
        <v>218</v>
      </c>
      <c r="B209" s="1" t="s">
        <v>171</v>
      </c>
      <c r="C209" s="1" t="s">
        <v>91</v>
      </c>
      <c r="D209" s="1">
        <v>1600</v>
      </c>
      <c r="E209" s="1">
        <v>1050</v>
      </c>
      <c r="F209" s="1">
        <v>165</v>
      </c>
      <c r="G209" s="1">
        <v>440</v>
      </c>
      <c r="H209" s="1">
        <v>1000</v>
      </c>
      <c r="I209" s="1">
        <v>1600000</v>
      </c>
      <c r="J209" s="1">
        <v>580000</v>
      </c>
      <c r="K209" s="1">
        <v>0.55000000000000004</v>
      </c>
      <c r="L209" s="1" t="s">
        <v>159</v>
      </c>
    </row>
    <row r="210" spans="1:12" x14ac:dyDescent="0.3">
      <c r="A210" t="s">
        <v>219</v>
      </c>
      <c r="B210" t="s">
        <v>44</v>
      </c>
      <c r="C210" t="s">
        <v>165</v>
      </c>
      <c r="D210">
        <v>1100</v>
      </c>
      <c r="E210">
        <v>650</v>
      </c>
      <c r="F210">
        <v>125</v>
      </c>
      <c r="G210">
        <v>425</v>
      </c>
      <c r="H210">
        <v>775</v>
      </c>
      <c r="I210">
        <v>1300000</v>
      </c>
      <c r="J210">
        <v>470000</v>
      </c>
      <c r="K210">
        <v>0.42</v>
      </c>
      <c r="L210" t="s">
        <v>161</v>
      </c>
    </row>
    <row r="211" spans="1:12" x14ac:dyDescent="0.3">
      <c r="A211" t="s">
        <v>219</v>
      </c>
      <c r="B211" t="s">
        <v>35</v>
      </c>
      <c r="C211" t="s">
        <v>165</v>
      </c>
      <c r="D211">
        <v>900</v>
      </c>
      <c r="E211">
        <v>450</v>
      </c>
      <c r="F211">
        <v>125</v>
      </c>
      <c r="G211">
        <v>425</v>
      </c>
      <c r="H211">
        <v>625</v>
      </c>
      <c r="I211">
        <v>1300000</v>
      </c>
      <c r="J211">
        <v>470000</v>
      </c>
      <c r="K211">
        <v>0.42</v>
      </c>
      <c r="L211" t="s">
        <v>161</v>
      </c>
    </row>
    <row r="212" spans="1:12" x14ac:dyDescent="0.3">
      <c r="A212" t="s">
        <v>219</v>
      </c>
      <c r="B212" t="s">
        <v>36</v>
      </c>
      <c r="C212" t="s">
        <v>165</v>
      </c>
      <c r="D212">
        <v>600</v>
      </c>
      <c r="E212">
        <v>300</v>
      </c>
      <c r="F212">
        <v>125</v>
      </c>
      <c r="G212">
        <v>425</v>
      </c>
      <c r="H212">
        <v>425</v>
      </c>
      <c r="I212">
        <v>1000000</v>
      </c>
      <c r="J212">
        <v>370000</v>
      </c>
      <c r="K212">
        <v>0.42</v>
      </c>
      <c r="L212" t="s">
        <v>161</v>
      </c>
    </row>
    <row r="213" spans="1:12" x14ac:dyDescent="0.3">
      <c r="A213" t="s">
        <v>219</v>
      </c>
      <c r="B213" t="s">
        <v>44</v>
      </c>
      <c r="C213" t="s">
        <v>91</v>
      </c>
      <c r="D213">
        <v>1050</v>
      </c>
      <c r="E213">
        <v>700</v>
      </c>
      <c r="F213">
        <v>125</v>
      </c>
      <c r="G213">
        <v>425</v>
      </c>
      <c r="H213">
        <v>800</v>
      </c>
      <c r="I213">
        <v>1300000</v>
      </c>
      <c r="J213">
        <v>470000</v>
      </c>
      <c r="K213">
        <v>0.42</v>
      </c>
      <c r="L213" t="s">
        <v>161</v>
      </c>
    </row>
    <row r="214" spans="1:12" x14ac:dyDescent="0.3">
      <c r="A214" t="s">
        <v>219</v>
      </c>
      <c r="B214" t="s">
        <v>35</v>
      </c>
      <c r="C214" t="s">
        <v>91</v>
      </c>
      <c r="D214">
        <v>850</v>
      </c>
      <c r="E214">
        <v>550</v>
      </c>
      <c r="F214">
        <v>125</v>
      </c>
      <c r="G214">
        <v>425</v>
      </c>
      <c r="H214">
        <v>700</v>
      </c>
      <c r="I214">
        <v>1300000</v>
      </c>
      <c r="J214">
        <v>470000</v>
      </c>
      <c r="K214">
        <v>0.42</v>
      </c>
      <c r="L214" t="s">
        <v>161</v>
      </c>
    </row>
    <row r="215" spans="1:12" x14ac:dyDescent="0.3">
      <c r="A215" s="1" t="s">
        <v>219</v>
      </c>
      <c r="B215" s="1" t="s">
        <v>36</v>
      </c>
      <c r="C215" s="1" t="s">
        <v>91</v>
      </c>
      <c r="D215" s="1">
        <v>500</v>
      </c>
      <c r="E215" s="1">
        <v>325</v>
      </c>
      <c r="F215" s="1">
        <v>125</v>
      </c>
      <c r="G215" s="1">
        <v>425</v>
      </c>
      <c r="H215" s="1">
        <v>500</v>
      </c>
      <c r="I215" s="1">
        <v>1000000</v>
      </c>
      <c r="J215" s="1">
        <v>370000</v>
      </c>
      <c r="K215" s="1">
        <v>0.42</v>
      </c>
      <c r="L215" s="1" t="s">
        <v>161</v>
      </c>
    </row>
    <row r="216" spans="1:12" x14ac:dyDescent="0.3">
      <c r="A216" t="s">
        <v>220</v>
      </c>
      <c r="B216" t="s">
        <v>44</v>
      </c>
      <c r="C216" t="s">
        <v>165</v>
      </c>
      <c r="D216">
        <v>1050</v>
      </c>
      <c r="E216">
        <v>625</v>
      </c>
      <c r="F216">
        <v>125</v>
      </c>
      <c r="G216">
        <v>335</v>
      </c>
      <c r="H216">
        <v>675</v>
      </c>
      <c r="I216">
        <v>1200000</v>
      </c>
      <c r="J216">
        <v>440000</v>
      </c>
      <c r="K216">
        <v>0.36</v>
      </c>
      <c r="L216" t="s">
        <v>164</v>
      </c>
    </row>
    <row r="217" spans="1:12" x14ac:dyDescent="0.3">
      <c r="A217" t="s">
        <v>220</v>
      </c>
      <c r="B217" t="s">
        <v>35</v>
      </c>
      <c r="C217" t="s">
        <v>165</v>
      </c>
      <c r="D217">
        <v>900</v>
      </c>
      <c r="E217">
        <v>450</v>
      </c>
      <c r="F217">
        <v>125</v>
      </c>
      <c r="G217">
        <v>335</v>
      </c>
      <c r="H217">
        <v>550</v>
      </c>
      <c r="I217">
        <v>1200000</v>
      </c>
      <c r="J217">
        <v>440000</v>
      </c>
      <c r="K217">
        <v>0.36</v>
      </c>
      <c r="L217" t="s">
        <v>164</v>
      </c>
    </row>
    <row r="218" spans="1:12" x14ac:dyDescent="0.3">
      <c r="A218" t="s">
        <v>220</v>
      </c>
      <c r="B218" t="s">
        <v>36</v>
      </c>
      <c r="C218" t="s">
        <v>165</v>
      </c>
      <c r="D218">
        <v>575</v>
      </c>
      <c r="E218">
        <v>300</v>
      </c>
      <c r="F218">
        <v>125</v>
      </c>
      <c r="G218">
        <v>335</v>
      </c>
      <c r="H218">
        <v>375</v>
      </c>
      <c r="I218">
        <v>1000000</v>
      </c>
      <c r="J218">
        <v>370000</v>
      </c>
      <c r="K218">
        <v>0.36</v>
      </c>
      <c r="L218" t="s">
        <v>164</v>
      </c>
    </row>
    <row r="219" spans="1:12" x14ac:dyDescent="0.3">
      <c r="A219" t="s">
        <v>220</v>
      </c>
      <c r="B219" t="s">
        <v>44</v>
      </c>
      <c r="C219" t="s">
        <v>91</v>
      </c>
      <c r="D219">
        <v>1000</v>
      </c>
      <c r="E219">
        <v>675</v>
      </c>
      <c r="F219">
        <v>125</v>
      </c>
      <c r="G219">
        <v>335</v>
      </c>
      <c r="H219">
        <v>700</v>
      </c>
      <c r="I219">
        <v>1200000</v>
      </c>
      <c r="J219">
        <v>440000</v>
      </c>
      <c r="K219">
        <v>0.36</v>
      </c>
      <c r="L219" t="s">
        <v>164</v>
      </c>
    </row>
    <row r="220" spans="1:12" x14ac:dyDescent="0.3">
      <c r="A220" t="s">
        <v>220</v>
      </c>
      <c r="B220" t="s">
        <v>35</v>
      </c>
      <c r="C220" t="s">
        <v>91</v>
      </c>
      <c r="D220">
        <v>800</v>
      </c>
      <c r="E220">
        <v>550</v>
      </c>
      <c r="F220">
        <v>125</v>
      </c>
      <c r="G220">
        <v>335</v>
      </c>
      <c r="H220">
        <v>625</v>
      </c>
      <c r="I220">
        <v>1200000</v>
      </c>
      <c r="J220">
        <v>440000</v>
      </c>
      <c r="K220">
        <v>0.36</v>
      </c>
      <c r="L220" t="s">
        <v>164</v>
      </c>
    </row>
    <row r="221" spans="1:12" x14ac:dyDescent="0.3">
      <c r="A221" s="1" t="s">
        <v>220</v>
      </c>
      <c r="B221" s="1" t="s">
        <v>36</v>
      </c>
      <c r="C221" s="1" t="s">
        <v>91</v>
      </c>
      <c r="D221" s="1">
        <v>475</v>
      </c>
      <c r="E221" s="1">
        <v>325</v>
      </c>
      <c r="F221" s="1">
        <v>125</v>
      </c>
      <c r="G221" s="1">
        <v>335</v>
      </c>
      <c r="H221" s="1">
        <v>425</v>
      </c>
      <c r="I221" s="1">
        <v>1000000</v>
      </c>
      <c r="J221" s="1">
        <v>370000</v>
      </c>
      <c r="K221" s="1">
        <v>0.36</v>
      </c>
      <c r="L221" s="1" t="s">
        <v>164</v>
      </c>
    </row>
    <row r="222" spans="1:12" x14ac:dyDescent="0.3">
      <c r="A222" t="s">
        <v>201</v>
      </c>
      <c r="B222" t="s">
        <v>44</v>
      </c>
      <c r="C222" t="s">
        <v>165</v>
      </c>
      <c r="D222">
        <v>1150</v>
      </c>
      <c r="E222">
        <v>675</v>
      </c>
      <c r="F222">
        <v>140</v>
      </c>
      <c r="G222">
        <v>425</v>
      </c>
      <c r="H222">
        <v>875</v>
      </c>
      <c r="I222">
        <v>1000000</v>
      </c>
      <c r="J222">
        <v>370000</v>
      </c>
      <c r="K222">
        <v>0.36</v>
      </c>
      <c r="L222" t="s">
        <v>157</v>
      </c>
    </row>
    <row r="223" spans="1:12" x14ac:dyDescent="0.3">
      <c r="A223" t="s">
        <v>201</v>
      </c>
      <c r="B223" t="s">
        <v>35</v>
      </c>
      <c r="C223" t="s">
        <v>165</v>
      </c>
      <c r="D223">
        <v>975</v>
      </c>
      <c r="E223">
        <v>475</v>
      </c>
      <c r="F223">
        <v>140</v>
      </c>
      <c r="G223">
        <v>425</v>
      </c>
      <c r="H223">
        <v>725</v>
      </c>
      <c r="I223">
        <v>1000000</v>
      </c>
      <c r="J223">
        <v>370000</v>
      </c>
      <c r="K223">
        <v>0.36</v>
      </c>
      <c r="L223" t="s">
        <v>157</v>
      </c>
    </row>
    <row r="224" spans="1:12" x14ac:dyDescent="0.3">
      <c r="A224" t="s">
        <v>201</v>
      </c>
      <c r="B224" t="s">
        <v>36</v>
      </c>
      <c r="C224" t="s">
        <v>165</v>
      </c>
      <c r="D224">
        <v>625</v>
      </c>
      <c r="E224">
        <v>325</v>
      </c>
      <c r="F224">
        <v>140</v>
      </c>
      <c r="G224">
        <v>425</v>
      </c>
      <c r="H224">
        <v>475</v>
      </c>
      <c r="I224">
        <v>800000</v>
      </c>
      <c r="J224">
        <v>290000</v>
      </c>
      <c r="K224">
        <v>0.36</v>
      </c>
      <c r="L224" t="s">
        <v>157</v>
      </c>
    </row>
    <row r="225" spans="1:12" x14ac:dyDescent="0.3">
      <c r="A225" t="s">
        <v>201</v>
      </c>
      <c r="B225" t="s">
        <v>44</v>
      </c>
      <c r="C225" t="s">
        <v>91</v>
      </c>
      <c r="D225">
        <v>1100</v>
      </c>
      <c r="E225">
        <v>725</v>
      </c>
      <c r="F225">
        <v>140</v>
      </c>
      <c r="G225">
        <v>425</v>
      </c>
      <c r="H225">
        <v>925</v>
      </c>
      <c r="I225">
        <v>1000000</v>
      </c>
      <c r="J225">
        <v>370000</v>
      </c>
      <c r="K225">
        <v>0.36</v>
      </c>
      <c r="L225" t="s">
        <v>157</v>
      </c>
    </row>
    <row r="226" spans="1:12" x14ac:dyDescent="0.3">
      <c r="A226" t="s">
        <v>201</v>
      </c>
      <c r="B226" t="s">
        <v>35</v>
      </c>
      <c r="C226" t="s">
        <v>91</v>
      </c>
      <c r="D226">
        <v>875</v>
      </c>
      <c r="E226">
        <v>600</v>
      </c>
      <c r="F226">
        <v>140</v>
      </c>
      <c r="G226">
        <v>425</v>
      </c>
      <c r="H226">
        <v>800</v>
      </c>
      <c r="I226">
        <v>1000000</v>
      </c>
      <c r="J226">
        <v>370000</v>
      </c>
      <c r="K226">
        <v>0.36</v>
      </c>
      <c r="L226" t="s">
        <v>157</v>
      </c>
    </row>
    <row r="227" spans="1:12" x14ac:dyDescent="0.3">
      <c r="A227" s="1" t="s">
        <v>201</v>
      </c>
      <c r="B227" s="1" t="s">
        <v>36</v>
      </c>
      <c r="C227" s="1" t="s">
        <v>91</v>
      </c>
      <c r="D227" s="1">
        <v>550</v>
      </c>
      <c r="E227" s="1">
        <v>350</v>
      </c>
      <c r="F227" s="1">
        <v>140</v>
      </c>
      <c r="G227" s="1">
        <v>425</v>
      </c>
      <c r="H227" s="1">
        <v>550</v>
      </c>
      <c r="I227" s="1">
        <v>800000</v>
      </c>
      <c r="J227" s="1">
        <v>290000</v>
      </c>
      <c r="K227" s="1">
        <v>0.36</v>
      </c>
      <c r="L227" s="1" t="s">
        <v>157</v>
      </c>
    </row>
    <row r="228" spans="1:12" x14ac:dyDescent="0.3">
      <c r="A228" t="s">
        <v>221</v>
      </c>
      <c r="B228" t="s">
        <v>44</v>
      </c>
      <c r="C228" t="s">
        <v>165</v>
      </c>
      <c r="D228">
        <v>1150</v>
      </c>
      <c r="E228">
        <v>675</v>
      </c>
      <c r="F228">
        <v>130</v>
      </c>
      <c r="G228">
        <v>425</v>
      </c>
      <c r="H228">
        <v>850</v>
      </c>
      <c r="I228">
        <v>1000000</v>
      </c>
      <c r="J228">
        <v>370000</v>
      </c>
      <c r="K228">
        <v>0.35</v>
      </c>
      <c r="L228" t="s">
        <v>161</v>
      </c>
    </row>
    <row r="229" spans="1:12" x14ac:dyDescent="0.3">
      <c r="A229" t="s">
        <v>221</v>
      </c>
      <c r="B229" t="s">
        <v>35</v>
      </c>
      <c r="C229" t="s">
        <v>165</v>
      </c>
      <c r="D229">
        <v>925</v>
      </c>
      <c r="E229">
        <v>475</v>
      </c>
      <c r="F229">
        <v>130</v>
      </c>
      <c r="G229">
        <v>425</v>
      </c>
      <c r="H229">
        <v>700</v>
      </c>
      <c r="I229">
        <v>1000000</v>
      </c>
      <c r="J229">
        <v>370000</v>
      </c>
      <c r="K229">
        <v>0.35</v>
      </c>
      <c r="L229" t="s">
        <v>161</v>
      </c>
    </row>
    <row r="230" spans="1:12" x14ac:dyDescent="0.3">
      <c r="A230" t="s">
        <v>221</v>
      </c>
      <c r="B230" t="s">
        <v>36</v>
      </c>
      <c r="C230" t="s">
        <v>165</v>
      </c>
      <c r="D230">
        <v>625</v>
      </c>
      <c r="E230">
        <v>300</v>
      </c>
      <c r="F230">
        <v>130</v>
      </c>
      <c r="G230">
        <v>425</v>
      </c>
      <c r="H230">
        <v>450</v>
      </c>
      <c r="I230">
        <v>800000</v>
      </c>
      <c r="J230">
        <v>290000</v>
      </c>
      <c r="K230">
        <v>0.35</v>
      </c>
      <c r="L230" t="s">
        <v>161</v>
      </c>
    </row>
    <row r="231" spans="1:12" x14ac:dyDescent="0.3">
      <c r="A231" t="s">
        <v>221</v>
      </c>
      <c r="B231" t="s">
        <v>44</v>
      </c>
      <c r="C231" t="s">
        <v>91</v>
      </c>
      <c r="D231">
        <v>1050</v>
      </c>
      <c r="E231">
        <v>700</v>
      </c>
      <c r="F231">
        <v>130</v>
      </c>
      <c r="G231">
        <v>425</v>
      </c>
      <c r="H231">
        <v>900</v>
      </c>
      <c r="I231">
        <v>1000000</v>
      </c>
      <c r="J231">
        <v>370000</v>
      </c>
      <c r="K231">
        <v>0.35</v>
      </c>
      <c r="L231" t="s">
        <v>161</v>
      </c>
    </row>
    <row r="232" spans="1:12" x14ac:dyDescent="0.3">
      <c r="A232" t="s">
        <v>221</v>
      </c>
      <c r="B232" t="s">
        <v>35</v>
      </c>
      <c r="C232" t="s">
        <v>91</v>
      </c>
      <c r="D232">
        <v>875</v>
      </c>
      <c r="E232">
        <v>575</v>
      </c>
      <c r="F232">
        <v>130</v>
      </c>
      <c r="G232">
        <v>425</v>
      </c>
      <c r="H232">
        <v>800</v>
      </c>
      <c r="I232">
        <v>1000000</v>
      </c>
      <c r="J232">
        <v>370000</v>
      </c>
      <c r="K232">
        <v>0.35</v>
      </c>
      <c r="L232" t="s">
        <v>161</v>
      </c>
    </row>
    <row r="233" spans="1:12" x14ac:dyDescent="0.3">
      <c r="A233" s="1" t="s">
        <v>221</v>
      </c>
      <c r="B233" s="1" t="s">
        <v>36</v>
      </c>
      <c r="C233" s="1" t="s">
        <v>91</v>
      </c>
      <c r="D233" s="1">
        <v>500</v>
      </c>
      <c r="E233" s="1">
        <v>350</v>
      </c>
      <c r="F233" s="1">
        <v>130</v>
      </c>
      <c r="G233" s="1">
        <v>425</v>
      </c>
      <c r="H233" s="1">
        <v>550</v>
      </c>
      <c r="I233" s="1">
        <v>800000</v>
      </c>
      <c r="J233" s="1">
        <v>290000</v>
      </c>
      <c r="K233" s="1">
        <v>0.35</v>
      </c>
      <c r="L233" s="1" t="s">
        <v>161</v>
      </c>
    </row>
    <row r="234" spans="1:12" x14ac:dyDescent="0.3">
      <c r="A234" t="s">
        <v>222</v>
      </c>
      <c r="B234" t="s">
        <v>44</v>
      </c>
      <c r="C234" t="s">
        <v>165</v>
      </c>
      <c r="D234">
        <v>1400</v>
      </c>
      <c r="E234">
        <v>825</v>
      </c>
      <c r="F234">
        <v>170</v>
      </c>
      <c r="G234">
        <v>410</v>
      </c>
      <c r="H234">
        <v>1000</v>
      </c>
      <c r="I234">
        <v>1400000</v>
      </c>
      <c r="J234">
        <v>510000</v>
      </c>
      <c r="K234">
        <v>0.47</v>
      </c>
      <c r="L234" t="s">
        <v>157</v>
      </c>
    </row>
    <row r="235" spans="1:12" x14ac:dyDescent="0.3">
      <c r="A235" t="s">
        <v>222</v>
      </c>
      <c r="B235" t="s">
        <v>35</v>
      </c>
      <c r="C235" t="s">
        <v>165</v>
      </c>
      <c r="D235">
        <v>1150</v>
      </c>
      <c r="E235">
        <v>575</v>
      </c>
      <c r="F235">
        <v>170</v>
      </c>
      <c r="G235">
        <v>410</v>
      </c>
      <c r="H235">
        <v>850</v>
      </c>
      <c r="I235">
        <v>1400000</v>
      </c>
      <c r="J235">
        <v>510000</v>
      </c>
      <c r="K235">
        <v>0.47</v>
      </c>
      <c r="L235" t="s">
        <v>157</v>
      </c>
    </row>
    <row r="236" spans="1:12" x14ac:dyDescent="0.3">
      <c r="A236" t="s">
        <v>222</v>
      </c>
      <c r="B236" t="s">
        <v>36</v>
      </c>
      <c r="C236" t="s">
        <v>165</v>
      </c>
      <c r="D236">
        <v>750</v>
      </c>
      <c r="E236">
        <v>375</v>
      </c>
      <c r="F236">
        <v>170</v>
      </c>
      <c r="G236">
        <v>410</v>
      </c>
      <c r="H236">
        <v>550</v>
      </c>
      <c r="I236">
        <v>1100000</v>
      </c>
      <c r="J236">
        <v>400000</v>
      </c>
      <c r="K236">
        <v>0.47</v>
      </c>
      <c r="L236" t="s">
        <v>157</v>
      </c>
    </row>
    <row r="237" spans="1:12" x14ac:dyDescent="0.3">
      <c r="A237" t="s">
        <v>222</v>
      </c>
      <c r="B237" t="s">
        <v>44</v>
      </c>
      <c r="C237" t="s">
        <v>91</v>
      </c>
      <c r="D237">
        <v>1300</v>
      </c>
      <c r="E237">
        <v>875</v>
      </c>
      <c r="F237">
        <v>170</v>
      </c>
      <c r="G237">
        <v>410</v>
      </c>
      <c r="H237">
        <v>1100</v>
      </c>
      <c r="I237">
        <v>1400000</v>
      </c>
      <c r="J237">
        <v>510000</v>
      </c>
      <c r="K237">
        <v>0.47</v>
      </c>
      <c r="L237" t="s">
        <v>157</v>
      </c>
    </row>
    <row r="238" spans="1:12" x14ac:dyDescent="0.3">
      <c r="A238" t="s">
        <v>222</v>
      </c>
      <c r="B238" t="s">
        <v>35</v>
      </c>
      <c r="C238" t="s">
        <v>91</v>
      </c>
      <c r="D238">
        <v>1050</v>
      </c>
      <c r="E238">
        <v>700</v>
      </c>
      <c r="F238">
        <v>170</v>
      </c>
      <c r="G238">
        <v>410</v>
      </c>
      <c r="H238">
        <v>950</v>
      </c>
      <c r="I238">
        <v>1400000</v>
      </c>
      <c r="J238">
        <v>510000</v>
      </c>
      <c r="K238">
        <v>0.47</v>
      </c>
      <c r="L238" t="s">
        <v>157</v>
      </c>
    </row>
    <row r="239" spans="1:12" x14ac:dyDescent="0.3">
      <c r="A239" s="1" t="s">
        <v>222</v>
      </c>
      <c r="B239" s="1" t="s">
        <v>36</v>
      </c>
      <c r="C239" s="1" t="s">
        <v>91</v>
      </c>
      <c r="D239" s="1">
        <v>650</v>
      </c>
      <c r="E239" s="1">
        <v>425</v>
      </c>
      <c r="F239" s="1">
        <v>170</v>
      </c>
      <c r="G239" s="1">
        <v>410</v>
      </c>
      <c r="H239" s="1">
        <v>650</v>
      </c>
      <c r="I239" s="1">
        <v>1100000</v>
      </c>
      <c r="J239" s="1">
        <v>400000</v>
      </c>
      <c r="K239" s="1">
        <v>0.47</v>
      </c>
      <c r="L239" s="1" t="s">
        <v>157</v>
      </c>
    </row>
    <row r="240" spans="1:12" x14ac:dyDescent="0.3">
      <c r="A240" t="s">
        <v>223</v>
      </c>
      <c r="B240" t="s">
        <v>44</v>
      </c>
      <c r="C240" t="s">
        <v>165</v>
      </c>
      <c r="D240">
        <v>1400</v>
      </c>
      <c r="E240">
        <v>825</v>
      </c>
      <c r="F240">
        <v>135</v>
      </c>
      <c r="G240">
        <v>410</v>
      </c>
      <c r="H240">
        <v>1000</v>
      </c>
      <c r="I240">
        <v>1400000</v>
      </c>
      <c r="J240">
        <v>510000</v>
      </c>
      <c r="K240">
        <v>0.46</v>
      </c>
      <c r="L240" t="s">
        <v>161</v>
      </c>
    </row>
    <row r="241" spans="1:12" x14ac:dyDescent="0.3">
      <c r="A241" t="s">
        <v>223</v>
      </c>
      <c r="B241" t="s">
        <v>35</v>
      </c>
      <c r="C241" t="s">
        <v>165</v>
      </c>
      <c r="D241">
        <v>1150</v>
      </c>
      <c r="E241">
        <v>575</v>
      </c>
      <c r="F241">
        <v>135</v>
      </c>
      <c r="G241">
        <v>410</v>
      </c>
      <c r="H241">
        <v>850</v>
      </c>
      <c r="I241">
        <v>1400000</v>
      </c>
      <c r="J241">
        <v>510000</v>
      </c>
      <c r="K241">
        <v>0.46</v>
      </c>
      <c r="L241" t="s">
        <v>161</v>
      </c>
    </row>
    <row r="242" spans="1:12" x14ac:dyDescent="0.3">
      <c r="A242" t="s">
        <v>223</v>
      </c>
      <c r="B242" t="s">
        <v>36</v>
      </c>
      <c r="C242" t="s">
        <v>165</v>
      </c>
      <c r="D242">
        <v>750</v>
      </c>
      <c r="E242">
        <v>375</v>
      </c>
      <c r="F242">
        <v>135</v>
      </c>
      <c r="G242">
        <v>410</v>
      </c>
      <c r="H242">
        <v>550</v>
      </c>
      <c r="I242">
        <v>1100000</v>
      </c>
      <c r="J242">
        <v>400000</v>
      </c>
      <c r="K242">
        <v>0.46</v>
      </c>
      <c r="L242" t="s">
        <v>161</v>
      </c>
    </row>
    <row r="243" spans="1:12" x14ac:dyDescent="0.3">
      <c r="A243" t="s">
        <v>223</v>
      </c>
      <c r="B243" t="s">
        <v>44</v>
      </c>
      <c r="C243" t="s">
        <v>91</v>
      </c>
      <c r="D243">
        <v>1300</v>
      </c>
      <c r="E243">
        <v>875</v>
      </c>
      <c r="F243">
        <v>135</v>
      </c>
      <c r="G243">
        <v>410</v>
      </c>
      <c r="H243">
        <v>1100</v>
      </c>
      <c r="I243">
        <v>1400000</v>
      </c>
      <c r="J243">
        <v>510000</v>
      </c>
      <c r="K243">
        <v>0.46</v>
      </c>
      <c r="L243" t="s">
        <v>161</v>
      </c>
    </row>
    <row r="244" spans="1:12" x14ac:dyDescent="0.3">
      <c r="A244" t="s">
        <v>223</v>
      </c>
      <c r="B244" t="s">
        <v>35</v>
      </c>
      <c r="C244" t="s">
        <v>91</v>
      </c>
      <c r="D244">
        <v>1050</v>
      </c>
      <c r="E244">
        <v>700</v>
      </c>
      <c r="F244">
        <v>135</v>
      </c>
      <c r="G244">
        <v>410</v>
      </c>
      <c r="H244">
        <v>950</v>
      </c>
      <c r="I244">
        <v>1400000</v>
      </c>
      <c r="J244">
        <v>510000</v>
      </c>
      <c r="K244">
        <v>0.46</v>
      </c>
      <c r="L244" t="s">
        <v>161</v>
      </c>
    </row>
    <row r="245" spans="1:12" x14ac:dyDescent="0.3">
      <c r="A245" s="1" t="s">
        <v>223</v>
      </c>
      <c r="B245" s="1" t="s">
        <v>36</v>
      </c>
      <c r="C245" s="1" t="s">
        <v>91</v>
      </c>
      <c r="D245" s="1">
        <v>650</v>
      </c>
      <c r="E245" s="1">
        <v>425</v>
      </c>
      <c r="F245" s="1">
        <v>135</v>
      </c>
      <c r="G245" s="1">
        <v>410</v>
      </c>
      <c r="H245" s="1">
        <v>650</v>
      </c>
      <c r="I245" s="1">
        <v>1100000</v>
      </c>
      <c r="J245" s="1">
        <v>400000</v>
      </c>
      <c r="K245" s="1">
        <v>0.46</v>
      </c>
      <c r="L245" s="1" t="s">
        <v>161</v>
      </c>
    </row>
    <row r="246" spans="1:12" x14ac:dyDescent="0.3">
      <c r="A246" t="s">
        <v>202</v>
      </c>
      <c r="B246" t="s">
        <v>44</v>
      </c>
      <c r="C246" t="s">
        <v>165</v>
      </c>
      <c r="D246">
        <v>1300</v>
      </c>
      <c r="E246">
        <v>650</v>
      </c>
      <c r="F246">
        <v>115</v>
      </c>
      <c r="G246">
        <v>770</v>
      </c>
      <c r="H246">
        <v>325</v>
      </c>
      <c r="I246">
        <v>500000</v>
      </c>
      <c r="J246">
        <v>180000</v>
      </c>
      <c r="K246">
        <v>0.42</v>
      </c>
      <c r="L246" t="s">
        <v>155</v>
      </c>
    </row>
    <row r="247" spans="1:12" x14ac:dyDescent="0.3">
      <c r="A247" t="s">
        <v>202</v>
      </c>
      <c r="B247" t="s">
        <v>35</v>
      </c>
      <c r="C247" t="s">
        <v>165</v>
      </c>
      <c r="D247">
        <v>1100</v>
      </c>
      <c r="E247">
        <v>450</v>
      </c>
      <c r="F247">
        <v>115</v>
      </c>
      <c r="G247">
        <v>770</v>
      </c>
      <c r="H247">
        <v>275</v>
      </c>
      <c r="I247">
        <v>500000</v>
      </c>
      <c r="J247">
        <v>180000</v>
      </c>
      <c r="K247">
        <v>0.42</v>
      </c>
      <c r="L247" t="s">
        <v>155</v>
      </c>
    </row>
    <row r="248" spans="1:12" x14ac:dyDescent="0.3">
      <c r="A248" t="s">
        <v>202</v>
      </c>
      <c r="B248" t="s">
        <v>36</v>
      </c>
      <c r="C248" t="s">
        <v>165</v>
      </c>
      <c r="D248">
        <v>650</v>
      </c>
      <c r="E248">
        <v>350</v>
      </c>
      <c r="F248">
        <v>115</v>
      </c>
      <c r="G248">
        <v>770</v>
      </c>
      <c r="H248">
        <v>175</v>
      </c>
      <c r="I248">
        <v>400000</v>
      </c>
      <c r="J248">
        <v>150000</v>
      </c>
      <c r="K248">
        <v>0.42</v>
      </c>
      <c r="L248" t="s">
        <v>155</v>
      </c>
    </row>
    <row r="249" spans="1:12" x14ac:dyDescent="0.3">
      <c r="A249" t="s">
        <v>202</v>
      </c>
      <c r="B249" t="s">
        <v>44</v>
      </c>
      <c r="C249" t="s">
        <v>91</v>
      </c>
      <c r="D249">
        <v>1300</v>
      </c>
      <c r="E249">
        <v>675</v>
      </c>
      <c r="F249">
        <v>115</v>
      </c>
      <c r="G249">
        <v>770</v>
      </c>
      <c r="H249">
        <v>350</v>
      </c>
      <c r="I249">
        <v>500000</v>
      </c>
      <c r="J249">
        <v>180000</v>
      </c>
      <c r="K249">
        <v>0.42</v>
      </c>
      <c r="L249" t="s">
        <v>155</v>
      </c>
    </row>
    <row r="250" spans="1:12" x14ac:dyDescent="0.3">
      <c r="A250" t="s">
        <v>202</v>
      </c>
      <c r="B250" t="s">
        <v>35</v>
      </c>
      <c r="C250" t="s">
        <v>91</v>
      </c>
      <c r="D250">
        <v>1000</v>
      </c>
      <c r="E250">
        <v>550</v>
      </c>
      <c r="F250">
        <v>115</v>
      </c>
      <c r="G250">
        <v>770</v>
      </c>
      <c r="H250">
        <v>300</v>
      </c>
      <c r="I250">
        <v>500000</v>
      </c>
      <c r="J250">
        <v>180000</v>
      </c>
      <c r="K250">
        <v>0.42</v>
      </c>
      <c r="L250" t="s">
        <v>155</v>
      </c>
    </row>
    <row r="251" spans="1:12" x14ac:dyDescent="0.3">
      <c r="A251" s="1" t="s">
        <v>202</v>
      </c>
      <c r="B251" s="1" t="s">
        <v>36</v>
      </c>
      <c r="C251" s="1" t="s">
        <v>91</v>
      </c>
      <c r="D251" s="1">
        <v>600</v>
      </c>
      <c r="E251" s="1">
        <v>325</v>
      </c>
      <c r="F251" s="1">
        <v>115</v>
      </c>
      <c r="G251" s="1">
        <v>770</v>
      </c>
      <c r="H251" s="1">
        <v>225</v>
      </c>
      <c r="I251" s="1">
        <v>400000</v>
      </c>
      <c r="J251" s="1">
        <v>150000</v>
      </c>
      <c r="K251" s="1">
        <v>0.42</v>
      </c>
      <c r="L251" s="1" t="s">
        <v>155</v>
      </c>
    </row>
    <row r="252" spans="1:12" x14ac:dyDescent="0.3">
      <c r="A252" t="s">
        <v>224</v>
      </c>
      <c r="B252" t="s">
        <v>44</v>
      </c>
      <c r="C252" t="s">
        <v>165</v>
      </c>
      <c r="D252">
        <v>1050</v>
      </c>
      <c r="E252">
        <v>600</v>
      </c>
      <c r="F252">
        <v>120</v>
      </c>
      <c r="G252">
        <v>375</v>
      </c>
      <c r="H252">
        <v>775</v>
      </c>
      <c r="I252">
        <v>1300000</v>
      </c>
      <c r="J252">
        <v>470000</v>
      </c>
      <c r="K252">
        <v>0.4</v>
      </c>
      <c r="L252" t="s">
        <v>161</v>
      </c>
    </row>
    <row r="253" spans="1:12" x14ac:dyDescent="0.3">
      <c r="A253" t="s">
        <v>224</v>
      </c>
      <c r="B253" t="s">
        <v>35</v>
      </c>
      <c r="C253" t="s">
        <v>165</v>
      </c>
      <c r="D253">
        <v>850</v>
      </c>
      <c r="E253">
        <v>425</v>
      </c>
      <c r="F253">
        <v>120</v>
      </c>
      <c r="G253">
        <v>375</v>
      </c>
      <c r="H253">
        <v>625</v>
      </c>
      <c r="I253">
        <v>1300000</v>
      </c>
      <c r="J253">
        <v>470000</v>
      </c>
      <c r="K253">
        <v>0.4</v>
      </c>
      <c r="L253" t="s">
        <v>161</v>
      </c>
    </row>
    <row r="254" spans="1:12" x14ac:dyDescent="0.3">
      <c r="A254" t="s">
        <v>224</v>
      </c>
      <c r="B254" t="s">
        <v>36</v>
      </c>
      <c r="C254" t="s">
        <v>165</v>
      </c>
      <c r="D254">
        <v>550</v>
      </c>
      <c r="E254">
        <v>275</v>
      </c>
      <c r="F254">
        <v>120</v>
      </c>
      <c r="G254">
        <v>375</v>
      </c>
      <c r="H254">
        <v>400</v>
      </c>
      <c r="I254">
        <v>1000000</v>
      </c>
      <c r="J254">
        <v>370000</v>
      </c>
      <c r="K254">
        <v>0.4</v>
      </c>
      <c r="L254" t="s">
        <v>161</v>
      </c>
    </row>
    <row r="255" spans="1:12" x14ac:dyDescent="0.3">
      <c r="A255" t="s">
        <v>224</v>
      </c>
      <c r="B255" t="s">
        <v>44</v>
      </c>
      <c r="C255" t="s">
        <v>91</v>
      </c>
      <c r="D255">
        <v>975</v>
      </c>
      <c r="E255">
        <v>650</v>
      </c>
      <c r="F255">
        <v>120</v>
      </c>
      <c r="G255">
        <v>375</v>
      </c>
      <c r="H255">
        <v>800</v>
      </c>
      <c r="I255">
        <v>1300000</v>
      </c>
      <c r="J255">
        <v>470000</v>
      </c>
      <c r="K255">
        <v>0.4</v>
      </c>
      <c r="L255" t="s">
        <v>161</v>
      </c>
    </row>
    <row r="256" spans="1:12" x14ac:dyDescent="0.3">
      <c r="A256" t="s">
        <v>224</v>
      </c>
      <c r="B256" t="s">
        <v>35</v>
      </c>
      <c r="C256" t="s">
        <v>91</v>
      </c>
      <c r="D256">
        <v>775</v>
      </c>
      <c r="E256">
        <v>525</v>
      </c>
      <c r="F256">
        <v>120</v>
      </c>
      <c r="G256">
        <v>375</v>
      </c>
      <c r="H256">
        <v>700</v>
      </c>
      <c r="I256">
        <v>1300000</v>
      </c>
      <c r="J256">
        <v>470000</v>
      </c>
      <c r="K256">
        <v>0.4</v>
      </c>
      <c r="L256" t="s">
        <v>161</v>
      </c>
    </row>
    <row r="257" spans="1:12" x14ac:dyDescent="0.3">
      <c r="A257" s="1" t="s">
        <v>224</v>
      </c>
      <c r="B257" s="1" t="s">
        <v>36</v>
      </c>
      <c r="C257" s="1" t="s">
        <v>91</v>
      </c>
      <c r="D257" s="1">
        <v>450</v>
      </c>
      <c r="E257" s="1">
        <v>300</v>
      </c>
      <c r="F257" s="1">
        <v>120</v>
      </c>
      <c r="G257" s="1">
        <v>375</v>
      </c>
      <c r="H257" s="1">
        <v>500</v>
      </c>
      <c r="I257" s="1">
        <v>1000000</v>
      </c>
      <c r="J257" s="1">
        <v>370000</v>
      </c>
      <c r="K257" s="1">
        <v>0.4</v>
      </c>
      <c r="L257" s="1" t="s">
        <v>161</v>
      </c>
    </row>
    <row r="258" spans="1:12" x14ac:dyDescent="0.3">
      <c r="A258" s="3" t="s">
        <v>203</v>
      </c>
      <c r="B258" t="s">
        <v>44</v>
      </c>
      <c r="C258" t="s">
        <v>165</v>
      </c>
      <c r="D258">
        <v>1050</v>
      </c>
      <c r="E258">
        <v>625</v>
      </c>
      <c r="F258">
        <v>125</v>
      </c>
      <c r="G258">
        <v>345</v>
      </c>
      <c r="H258">
        <v>750</v>
      </c>
      <c r="I258">
        <v>1100000</v>
      </c>
      <c r="J258">
        <v>400000</v>
      </c>
      <c r="K258">
        <v>0.36</v>
      </c>
      <c r="L258" t="s">
        <v>157</v>
      </c>
    </row>
    <row r="259" spans="1:12" x14ac:dyDescent="0.3">
      <c r="A259" t="s">
        <v>203</v>
      </c>
      <c r="B259" t="s">
        <v>35</v>
      </c>
      <c r="C259" t="s">
        <v>165</v>
      </c>
      <c r="D259">
        <v>900</v>
      </c>
      <c r="E259">
        <v>450</v>
      </c>
      <c r="F259">
        <v>125</v>
      </c>
      <c r="G259">
        <v>345</v>
      </c>
      <c r="H259">
        <v>625</v>
      </c>
      <c r="I259">
        <v>1100000</v>
      </c>
      <c r="J259">
        <v>400000</v>
      </c>
      <c r="K259">
        <v>0.36</v>
      </c>
      <c r="L259" t="s">
        <v>157</v>
      </c>
    </row>
    <row r="260" spans="1:12" x14ac:dyDescent="0.3">
      <c r="A260" t="s">
        <v>203</v>
      </c>
      <c r="B260" t="s">
        <v>36</v>
      </c>
      <c r="C260" t="s">
        <v>165</v>
      </c>
      <c r="D260">
        <v>575</v>
      </c>
      <c r="E260">
        <v>300</v>
      </c>
      <c r="F260">
        <v>125</v>
      </c>
      <c r="G260">
        <v>345</v>
      </c>
      <c r="H260">
        <v>425</v>
      </c>
      <c r="I260">
        <v>900000</v>
      </c>
      <c r="J260">
        <v>330000</v>
      </c>
      <c r="K260">
        <v>0.36</v>
      </c>
      <c r="L260" t="s">
        <v>157</v>
      </c>
    </row>
    <row r="261" spans="1:12" x14ac:dyDescent="0.3">
      <c r="A261" t="s">
        <v>203</v>
      </c>
      <c r="B261" t="s">
        <v>44</v>
      </c>
      <c r="C261" t="s">
        <v>91</v>
      </c>
      <c r="D261">
        <v>1000</v>
      </c>
      <c r="E261">
        <v>675</v>
      </c>
      <c r="F261">
        <v>125</v>
      </c>
      <c r="G261">
        <v>345</v>
      </c>
      <c r="H261">
        <v>800</v>
      </c>
      <c r="I261">
        <v>1100000</v>
      </c>
      <c r="J261">
        <v>400000</v>
      </c>
      <c r="K261">
        <v>0.36</v>
      </c>
      <c r="L261" t="s">
        <v>157</v>
      </c>
    </row>
    <row r="262" spans="1:12" x14ac:dyDescent="0.3">
      <c r="A262" t="s">
        <v>203</v>
      </c>
      <c r="B262" t="s">
        <v>35</v>
      </c>
      <c r="C262" t="s">
        <v>91</v>
      </c>
      <c r="D262">
        <v>800</v>
      </c>
      <c r="E262">
        <v>525</v>
      </c>
      <c r="F262">
        <v>125</v>
      </c>
      <c r="G262">
        <v>345</v>
      </c>
      <c r="H262">
        <v>700</v>
      </c>
      <c r="I262">
        <v>1100000</v>
      </c>
      <c r="J262">
        <v>400000</v>
      </c>
      <c r="K262">
        <v>0.36</v>
      </c>
      <c r="L262" t="s">
        <v>157</v>
      </c>
    </row>
    <row r="263" spans="1:12" x14ac:dyDescent="0.3">
      <c r="A263" s="1" t="s">
        <v>203</v>
      </c>
      <c r="B263" s="1" t="s">
        <v>36</v>
      </c>
      <c r="C263" s="1" t="s">
        <v>91</v>
      </c>
      <c r="D263" s="1">
        <v>475</v>
      </c>
      <c r="E263" s="1">
        <v>325</v>
      </c>
      <c r="F263" s="1">
        <v>125</v>
      </c>
      <c r="G263" s="1">
        <v>345</v>
      </c>
      <c r="H263" s="1">
        <v>475</v>
      </c>
      <c r="I263" s="1">
        <v>900000</v>
      </c>
      <c r="J263" s="1">
        <v>330000</v>
      </c>
      <c r="K263" s="1">
        <v>0.36</v>
      </c>
      <c r="L263" s="1" t="s">
        <v>157</v>
      </c>
    </row>
    <row r="264" spans="1:12" x14ac:dyDescent="0.3">
      <c r="A264" t="s">
        <v>204</v>
      </c>
      <c r="B264" t="s">
        <v>44</v>
      </c>
      <c r="C264" t="s">
        <v>165</v>
      </c>
      <c r="D264">
        <v>1400</v>
      </c>
      <c r="E264">
        <v>825</v>
      </c>
      <c r="F264">
        <v>205</v>
      </c>
      <c r="G264">
        <v>800</v>
      </c>
      <c r="H264">
        <v>900</v>
      </c>
      <c r="I264">
        <v>1000000</v>
      </c>
      <c r="J264">
        <v>370000</v>
      </c>
      <c r="K264">
        <v>0.73</v>
      </c>
      <c r="L264" t="s">
        <v>160</v>
      </c>
    </row>
    <row r="265" spans="1:12" x14ac:dyDescent="0.3">
      <c r="A265" t="s">
        <v>204</v>
      </c>
      <c r="B265" t="s">
        <v>35</v>
      </c>
      <c r="C265" t="s">
        <v>165</v>
      </c>
      <c r="D265">
        <v>1200</v>
      </c>
      <c r="E265">
        <v>575</v>
      </c>
      <c r="F265">
        <v>205</v>
      </c>
      <c r="G265">
        <v>800</v>
      </c>
      <c r="H265">
        <v>775</v>
      </c>
      <c r="I265">
        <v>1000000</v>
      </c>
      <c r="J265">
        <v>370000</v>
      </c>
      <c r="K265">
        <v>0.73</v>
      </c>
      <c r="L265" t="s">
        <v>160</v>
      </c>
    </row>
    <row r="266" spans="1:12" x14ac:dyDescent="0.3">
      <c r="A266" t="s">
        <v>204</v>
      </c>
      <c r="B266" t="s">
        <v>36</v>
      </c>
      <c r="C266" t="s">
        <v>165</v>
      </c>
      <c r="D266">
        <v>750</v>
      </c>
      <c r="E266">
        <v>375</v>
      </c>
      <c r="F266">
        <v>205</v>
      </c>
      <c r="G266">
        <v>800</v>
      </c>
      <c r="H266">
        <v>475</v>
      </c>
      <c r="I266">
        <v>800000</v>
      </c>
      <c r="J266">
        <v>290000</v>
      </c>
      <c r="K266">
        <v>0.73</v>
      </c>
      <c r="L266" t="s">
        <v>160</v>
      </c>
    </row>
    <row r="267" spans="1:12" x14ac:dyDescent="0.3">
      <c r="A267" t="s">
        <v>204</v>
      </c>
      <c r="B267" t="s">
        <v>44</v>
      </c>
      <c r="C267" t="s">
        <v>91</v>
      </c>
      <c r="D267">
        <v>1300</v>
      </c>
      <c r="E267">
        <v>875</v>
      </c>
      <c r="F267">
        <v>205</v>
      </c>
      <c r="G267">
        <v>800</v>
      </c>
      <c r="H267">
        <v>950</v>
      </c>
      <c r="I267">
        <v>1000000</v>
      </c>
      <c r="J267">
        <v>370000</v>
      </c>
      <c r="K267">
        <v>0.73</v>
      </c>
      <c r="L267" t="s">
        <v>160</v>
      </c>
    </row>
    <row r="268" spans="1:12" x14ac:dyDescent="0.3">
      <c r="A268" t="s">
        <v>204</v>
      </c>
      <c r="B268" t="s">
        <v>35</v>
      </c>
      <c r="C268" t="s">
        <v>91</v>
      </c>
      <c r="D268">
        <v>1050</v>
      </c>
      <c r="E268">
        <v>700</v>
      </c>
      <c r="F268">
        <v>205</v>
      </c>
      <c r="G268">
        <v>800</v>
      </c>
      <c r="H268">
        <v>825</v>
      </c>
      <c r="I268">
        <v>1000000</v>
      </c>
      <c r="J268">
        <v>370000</v>
      </c>
      <c r="K268">
        <v>0.73</v>
      </c>
      <c r="L268" t="s">
        <v>160</v>
      </c>
    </row>
    <row r="269" spans="1:12" x14ac:dyDescent="0.3">
      <c r="A269" t="s">
        <v>204</v>
      </c>
      <c r="B269" t="s">
        <v>36</v>
      </c>
      <c r="C269" t="s">
        <v>91</v>
      </c>
      <c r="D269">
        <v>600</v>
      </c>
      <c r="E269">
        <v>400</v>
      </c>
      <c r="F269">
        <v>205</v>
      </c>
      <c r="G269">
        <v>800</v>
      </c>
      <c r="H269">
        <v>400</v>
      </c>
      <c r="I269">
        <v>800000</v>
      </c>
      <c r="J269">
        <v>290000</v>
      </c>
      <c r="K269">
        <v>0.73</v>
      </c>
      <c r="L269" t="s">
        <v>160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071E4-0614-45AF-8F78-13584E12281D}">
  <dimension ref="A1:A40"/>
  <sheetViews>
    <sheetView tabSelected="1" topLeftCell="A2" workbookViewId="0">
      <selection activeCell="G16" sqref="G16"/>
    </sheetView>
  </sheetViews>
  <sheetFormatPr defaultRowHeight="14.4" x14ac:dyDescent="0.3"/>
  <sheetData>
    <row r="1" spans="1:1" x14ac:dyDescent="0.3">
      <c r="A1" t="s">
        <v>151</v>
      </c>
    </row>
    <row r="2" spans="1:1" x14ac:dyDescent="0.3">
      <c r="A2" t="s">
        <v>172</v>
      </c>
    </row>
    <row r="3" spans="1:1" x14ac:dyDescent="0.3">
      <c r="A3" t="s">
        <v>177</v>
      </c>
    </row>
    <row r="4" spans="1:1" x14ac:dyDescent="0.3">
      <c r="A4" t="s">
        <v>207</v>
      </c>
    </row>
    <row r="5" spans="1:1" x14ac:dyDescent="0.3">
      <c r="A5" t="s">
        <v>178</v>
      </c>
    </row>
    <row r="6" spans="1:1" x14ac:dyDescent="0.3">
      <c r="A6" t="s">
        <v>179</v>
      </c>
    </row>
    <row r="7" spans="1:1" x14ac:dyDescent="0.3">
      <c r="A7" t="s">
        <v>181</v>
      </c>
    </row>
    <row r="8" spans="1:1" x14ac:dyDescent="0.3">
      <c r="A8" t="s">
        <v>182</v>
      </c>
    </row>
    <row r="9" spans="1:1" x14ac:dyDescent="0.3">
      <c r="A9" t="s">
        <v>208</v>
      </c>
    </row>
    <row r="10" spans="1:1" x14ac:dyDescent="0.3">
      <c r="A10" t="s">
        <v>209</v>
      </c>
    </row>
    <row r="11" spans="1:1" x14ac:dyDescent="0.3">
      <c r="A11" t="s">
        <v>185</v>
      </c>
    </row>
    <row r="12" spans="1:1" x14ac:dyDescent="0.3">
      <c r="A12" t="s">
        <v>210</v>
      </c>
    </row>
    <row r="13" spans="1:1" x14ac:dyDescent="0.3">
      <c r="A13" t="s">
        <v>211</v>
      </c>
    </row>
    <row r="14" spans="1:1" x14ac:dyDescent="0.3">
      <c r="A14" t="s">
        <v>187</v>
      </c>
    </row>
    <row r="15" spans="1:1" x14ac:dyDescent="0.3">
      <c r="A15" t="s">
        <v>188</v>
      </c>
    </row>
    <row r="16" spans="1:1" x14ac:dyDescent="0.3">
      <c r="A16" t="s">
        <v>189</v>
      </c>
    </row>
    <row r="17" spans="1:1" x14ac:dyDescent="0.3">
      <c r="A17" t="s">
        <v>190</v>
      </c>
    </row>
    <row r="18" spans="1:1" x14ac:dyDescent="0.3">
      <c r="A18" t="s">
        <v>191</v>
      </c>
    </row>
    <row r="19" spans="1:1" x14ac:dyDescent="0.3">
      <c r="A19" t="s">
        <v>212</v>
      </c>
    </row>
    <row r="20" spans="1:1" x14ac:dyDescent="0.3">
      <c r="A20" t="s">
        <v>213</v>
      </c>
    </row>
    <row r="21" spans="1:1" x14ac:dyDescent="0.3">
      <c r="A21" t="s">
        <v>214</v>
      </c>
    </row>
    <row r="22" spans="1:1" x14ac:dyDescent="0.3">
      <c r="A22" t="s">
        <v>192</v>
      </c>
    </row>
    <row r="23" spans="1:1" x14ac:dyDescent="0.3">
      <c r="A23" t="s">
        <v>194</v>
      </c>
    </row>
    <row r="24" spans="1:1" x14ac:dyDescent="0.3">
      <c r="A24" t="s">
        <v>215</v>
      </c>
    </row>
    <row r="25" spans="1:1" x14ac:dyDescent="0.3">
      <c r="A25" t="s">
        <v>196</v>
      </c>
    </row>
    <row r="26" spans="1:1" x14ac:dyDescent="0.3">
      <c r="A26" t="s">
        <v>197</v>
      </c>
    </row>
    <row r="27" spans="1:1" x14ac:dyDescent="0.3">
      <c r="A27" t="s">
        <v>216</v>
      </c>
    </row>
    <row r="28" spans="1:1" x14ac:dyDescent="0.3">
      <c r="A28" t="s">
        <v>198</v>
      </c>
    </row>
    <row r="29" spans="1:1" x14ac:dyDescent="0.3">
      <c r="A29" t="s">
        <v>217</v>
      </c>
    </row>
    <row r="30" spans="1:1" x14ac:dyDescent="0.3">
      <c r="A30" t="s">
        <v>218</v>
      </c>
    </row>
    <row r="31" spans="1:1" x14ac:dyDescent="0.3">
      <c r="A31" t="s">
        <v>219</v>
      </c>
    </row>
    <row r="32" spans="1:1" x14ac:dyDescent="0.3">
      <c r="A32" t="s">
        <v>220</v>
      </c>
    </row>
    <row r="33" spans="1:1" x14ac:dyDescent="0.3">
      <c r="A33" t="s">
        <v>201</v>
      </c>
    </row>
    <row r="34" spans="1:1" x14ac:dyDescent="0.3">
      <c r="A34" t="s">
        <v>221</v>
      </c>
    </row>
    <row r="35" spans="1:1" x14ac:dyDescent="0.3">
      <c r="A35" t="s">
        <v>222</v>
      </c>
    </row>
    <row r="36" spans="1:1" x14ac:dyDescent="0.3">
      <c r="A36" t="s">
        <v>223</v>
      </c>
    </row>
    <row r="37" spans="1:1" x14ac:dyDescent="0.3">
      <c r="A37" t="s">
        <v>202</v>
      </c>
    </row>
    <row r="38" spans="1:1" x14ac:dyDescent="0.3">
      <c r="A38" t="s">
        <v>224</v>
      </c>
    </row>
    <row r="39" spans="1:1" x14ac:dyDescent="0.3">
      <c r="A39" t="s">
        <v>203</v>
      </c>
    </row>
    <row r="40" spans="1:1" x14ac:dyDescent="0.3">
      <c r="A40" t="s">
        <v>204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A6DD9-CA18-4BE4-B1AE-B92DBEFB47BF}">
  <dimension ref="A1:L8"/>
  <sheetViews>
    <sheetView workbookViewId="0">
      <selection activeCell="M10" sqref="M10"/>
    </sheetView>
  </sheetViews>
  <sheetFormatPr defaultRowHeight="14.4" x14ac:dyDescent="0.3"/>
  <sheetData>
    <row r="1" spans="1:12" x14ac:dyDescent="0.3">
      <c r="B1" t="s">
        <v>0</v>
      </c>
      <c r="C1" t="s">
        <v>1</v>
      </c>
      <c r="D1" t="s">
        <v>9</v>
      </c>
      <c r="E1" t="s">
        <v>3</v>
      </c>
      <c r="F1" t="s">
        <v>4</v>
      </c>
      <c r="G1" t="s">
        <v>7</v>
      </c>
      <c r="H1" t="s">
        <v>5</v>
      </c>
      <c r="I1" t="s">
        <v>6</v>
      </c>
      <c r="J1" t="s">
        <v>8</v>
      </c>
      <c r="K1" t="s">
        <v>2</v>
      </c>
      <c r="L1" t="s">
        <v>10</v>
      </c>
    </row>
    <row r="2" spans="1:12" x14ac:dyDescent="0.3">
      <c r="A2" t="s">
        <v>11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0</v>
      </c>
      <c r="K2">
        <v>0</v>
      </c>
      <c r="L2">
        <v>0</v>
      </c>
    </row>
    <row r="3" spans="1:12" x14ac:dyDescent="0.3">
      <c r="A3" t="s">
        <v>12</v>
      </c>
      <c r="B3">
        <v>1</v>
      </c>
      <c r="C3">
        <v>1</v>
      </c>
      <c r="D3">
        <v>1</v>
      </c>
      <c r="E3">
        <v>0</v>
      </c>
      <c r="F3">
        <v>1</v>
      </c>
      <c r="G3">
        <v>0</v>
      </c>
      <c r="H3">
        <v>1</v>
      </c>
      <c r="I3">
        <v>0</v>
      </c>
      <c r="J3">
        <v>0</v>
      </c>
      <c r="K3">
        <v>0</v>
      </c>
      <c r="L3">
        <v>0</v>
      </c>
    </row>
    <row r="4" spans="1:12" x14ac:dyDescent="0.3">
      <c r="A4" t="s">
        <v>13</v>
      </c>
      <c r="B4">
        <v>1</v>
      </c>
      <c r="C4">
        <v>1</v>
      </c>
      <c r="D4">
        <v>1</v>
      </c>
      <c r="E4">
        <v>0</v>
      </c>
      <c r="F4">
        <v>0</v>
      </c>
      <c r="G4">
        <v>0</v>
      </c>
      <c r="H4">
        <v>1</v>
      </c>
      <c r="I4">
        <v>0</v>
      </c>
      <c r="J4">
        <v>0</v>
      </c>
      <c r="K4">
        <v>0</v>
      </c>
      <c r="L4">
        <v>0</v>
      </c>
    </row>
    <row r="5" spans="1:12" x14ac:dyDescent="0.3">
      <c r="A5" t="s">
        <v>14</v>
      </c>
      <c r="B5">
        <v>1</v>
      </c>
      <c r="C5">
        <v>1</v>
      </c>
      <c r="D5">
        <v>1</v>
      </c>
      <c r="E5">
        <v>0</v>
      </c>
      <c r="F5">
        <v>1</v>
      </c>
      <c r="G5">
        <v>0</v>
      </c>
      <c r="H5">
        <v>1</v>
      </c>
      <c r="I5">
        <v>0</v>
      </c>
      <c r="J5">
        <v>1</v>
      </c>
      <c r="K5">
        <v>0</v>
      </c>
      <c r="L5">
        <v>0</v>
      </c>
    </row>
    <row r="6" spans="1:12" x14ac:dyDescent="0.3">
      <c r="A6" t="s">
        <v>15</v>
      </c>
      <c r="B6">
        <v>0</v>
      </c>
      <c r="C6">
        <v>1</v>
      </c>
      <c r="D6">
        <v>1</v>
      </c>
      <c r="E6">
        <v>0</v>
      </c>
      <c r="F6">
        <v>0</v>
      </c>
      <c r="G6">
        <v>0</v>
      </c>
      <c r="H6">
        <v>1</v>
      </c>
      <c r="I6">
        <v>0</v>
      </c>
      <c r="J6">
        <v>0</v>
      </c>
      <c r="K6">
        <v>0</v>
      </c>
      <c r="L6">
        <v>1</v>
      </c>
    </row>
    <row r="7" spans="1:12" x14ac:dyDescent="0.3">
      <c r="A7" t="s">
        <v>16</v>
      </c>
      <c r="B7">
        <v>0</v>
      </c>
      <c r="C7">
        <v>1</v>
      </c>
      <c r="D7">
        <v>1</v>
      </c>
      <c r="E7">
        <v>0</v>
      </c>
      <c r="F7">
        <v>0</v>
      </c>
      <c r="G7">
        <v>1</v>
      </c>
      <c r="H7">
        <v>1</v>
      </c>
      <c r="I7">
        <v>0</v>
      </c>
      <c r="J7">
        <v>0</v>
      </c>
      <c r="K7">
        <v>0</v>
      </c>
      <c r="L7">
        <v>0</v>
      </c>
    </row>
    <row r="8" spans="1:12" x14ac:dyDescent="0.3">
      <c r="A8" t="s">
        <v>17</v>
      </c>
      <c r="B8">
        <v>0</v>
      </c>
      <c r="C8">
        <v>1</v>
      </c>
      <c r="D8">
        <v>1</v>
      </c>
      <c r="E8">
        <v>0</v>
      </c>
      <c r="F8">
        <v>0</v>
      </c>
      <c r="G8">
        <v>1</v>
      </c>
      <c r="H8">
        <v>1</v>
      </c>
      <c r="I8">
        <v>0</v>
      </c>
      <c r="J8">
        <v>0</v>
      </c>
      <c r="K8">
        <v>1</v>
      </c>
      <c r="L8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C5836-D9E5-4D00-B58C-F048B064EA9E}">
  <dimension ref="A1:B7"/>
  <sheetViews>
    <sheetView workbookViewId="0"/>
  </sheetViews>
  <sheetFormatPr defaultRowHeight="14.4" x14ac:dyDescent="0.3"/>
  <cols>
    <col min="1" max="1" width="12.21875" customWidth="1"/>
  </cols>
  <sheetData>
    <row r="1" spans="1:2" x14ac:dyDescent="0.3">
      <c r="A1" t="s">
        <v>18</v>
      </c>
      <c r="B1" t="s">
        <v>0</v>
      </c>
    </row>
    <row r="2" spans="1:2" x14ac:dyDescent="0.3">
      <c r="A2" t="s">
        <v>225</v>
      </c>
      <c r="B2">
        <v>0.9</v>
      </c>
    </row>
    <row r="3" spans="1:2" x14ac:dyDescent="0.3">
      <c r="A3" t="s">
        <v>226</v>
      </c>
      <c r="B3">
        <v>1</v>
      </c>
    </row>
    <row r="4" spans="1:2" x14ac:dyDescent="0.3">
      <c r="A4" t="s">
        <v>227</v>
      </c>
      <c r="B4">
        <v>1.1499999999999999</v>
      </c>
    </row>
    <row r="5" spans="1:2" x14ac:dyDescent="0.3">
      <c r="A5" t="s">
        <v>228</v>
      </c>
      <c r="B5">
        <v>1.25</v>
      </c>
    </row>
    <row r="6" spans="1:2" x14ac:dyDescent="0.3">
      <c r="A6" t="s">
        <v>229</v>
      </c>
      <c r="B6">
        <v>1.6</v>
      </c>
    </row>
    <row r="7" spans="1:2" x14ac:dyDescent="0.3">
      <c r="A7" t="s">
        <v>230</v>
      </c>
      <c r="B7">
        <v>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DD433-4179-4960-9405-00B2CC8062F4}">
  <dimension ref="A1:H3"/>
  <sheetViews>
    <sheetView workbookViewId="0">
      <selection activeCell="E10" sqref="E10"/>
    </sheetView>
  </sheetViews>
  <sheetFormatPr defaultRowHeight="14.4" x14ac:dyDescent="0.3"/>
  <sheetData>
    <row r="1" spans="1:8" x14ac:dyDescent="0.3">
      <c r="A1" t="s">
        <v>42</v>
      </c>
      <c r="B1" t="s">
        <v>20</v>
      </c>
      <c r="C1" t="s">
        <v>22</v>
      </c>
      <c r="D1" t="s">
        <v>21</v>
      </c>
      <c r="E1" t="s">
        <v>23</v>
      </c>
      <c r="F1" t="s">
        <v>24</v>
      </c>
      <c r="G1" t="s">
        <v>25</v>
      </c>
      <c r="H1" t="s">
        <v>26</v>
      </c>
    </row>
    <row r="2" spans="1:8" x14ac:dyDescent="0.3">
      <c r="A2" t="s">
        <v>64</v>
      </c>
      <c r="B2">
        <v>0.85</v>
      </c>
      <c r="C2">
        <v>1</v>
      </c>
      <c r="D2">
        <v>0.97</v>
      </c>
      <c r="E2">
        <v>0.67</v>
      </c>
      <c r="F2">
        <v>0.88</v>
      </c>
      <c r="G2">
        <v>0.9</v>
      </c>
      <c r="H2">
        <v>0.9</v>
      </c>
    </row>
    <row r="3" spans="1:8" x14ac:dyDescent="0.3">
      <c r="A3" t="s">
        <v>92</v>
      </c>
      <c r="B3">
        <v>1</v>
      </c>
      <c r="C3">
        <v>1</v>
      </c>
      <c r="D3">
        <v>1</v>
      </c>
      <c r="E3">
        <v>0.67</v>
      </c>
      <c r="F3">
        <v>0.91</v>
      </c>
      <c r="G3">
        <v>1</v>
      </c>
      <c r="H3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C33BB-D6DC-4DB7-8E23-3071C832DF9C}">
  <dimension ref="A1:E12"/>
  <sheetViews>
    <sheetView workbookViewId="0">
      <selection activeCell="J12" sqref="J12"/>
    </sheetView>
  </sheetViews>
  <sheetFormatPr defaultRowHeight="14.4" x14ac:dyDescent="0.3"/>
  <sheetData>
    <row r="1" spans="1:5" x14ac:dyDescent="0.3">
      <c r="B1" t="s">
        <v>30</v>
      </c>
      <c r="C1" t="s">
        <v>27</v>
      </c>
      <c r="D1" t="s">
        <v>28</v>
      </c>
      <c r="E1" t="s">
        <v>29</v>
      </c>
    </row>
    <row r="2" spans="1:5" x14ac:dyDescent="0.3">
      <c r="A2" t="s">
        <v>22</v>
      </c>
      <c r="B2" t="s">
        <v>233</v>
      </c>
      <c r="C2">
        <v>1</v>
      </c>
      <c r="D2">
        <v>0.9</v>
      </c>
      <c r="E2">
        <v>0.9</v>
      </c>
    </row>
    <row r="3" spans="1:5" x14ac:dyDescent="0.3">
      <c r="A3" t="s">
        <v>25</v>
      </c>
      <c r="B3" t="s">
        <v>233</v>
      </c>
      <c r="C3">
        <v>1</v>
      </c>
      <c r="D3">
        <v>0.9</v>
      </c>
      <c r="E3">
        <v>0.9</v>
      </c>
    </row>
    <row r="4" spans="1:5" x14ac:dyDescent="0.3">
      <c r="A4" t="s">
        <v>26</v>
      </c>
      <c r="B4" t="s">
        <v>233</v>
      </c>
      <c r="C4">
        <v>1</v>
      </c>
      <c r="D4">
        <v>0.9</v>
      </c>
      <c r="E4">
        <v>0.9</v>
      </c>
    </row>
    <row r="5" spans="1:5" x14ac:dyDescent="0.3">
      <c r="A5" t="s">
        <v>20</v>
      </c>
      <c r="B5" t="s">
        <v>231</v>
      </c>
      <c r="C5">
        <v>1</v>
      </c>
      <c r="D5">
        <v>0.8</v>
      </c>
      <c r="E5">
        <v>0.7</v>
      </c>
    </row>
    <row r="6" spans="1:5" x14ac:dyDescent="0.3">
      <c r="A6" t="s">
        <v>21</v>
      </c>
      <c r="B6" t="s">
        <v>231</v>
      </c>
      <c r="C6">
        <v>1</v>
      </c>
      <c r="D6">
        <v>0.8</v>
      </c>
      <c r="E6">
        <v>0.7</v>
      </c>
    </row>
    <row r="7" spans="1:5" x14ac:dyDescent="0.3">
      <c r="A7" t="s">
        <v>24</v>
      </c>
      <c r="B7" t="s">
        <v>231</v>
      </c>
      <c r="C7">
        <v>1</v>
      </c>
      <c r="D7">
        <v>0.8</v>
      </c>
      <c r="E7">
        <v>0.7</v>
      </c>
    </row>
    <row r="8" spans="1:5" x14ac:dyDescent="0.3">
      <c r="A8" t="s">
        <v>23</v>
      </c>
      <c r="B8" t="s">
        <v>231</v>
      </c>
      <c r="C8">
        <v>1</v>
      </c>
      <c r="D8">
        <v>0.8</v>
      </c>
      <c r="E8">
        <v>0.7</v>
      </c>
    </row>
    <row r="9" spans="1:5" x14ac:dyDescent="0.3">
      <c r="A9" t="s">
        <v>20</v>
      </c>
      <c r="B9" t="s">
        <v>232</v>
      </c>
      <c r="C9">
        <v>1</v>
      </c>
      <c r="D9">
        <v>0.7</v>
      </c>
      <c r="E9">
        <v>0.5</v>
      </c>
    </row>
    <row r="10" spans="1:5" x14ac:dyDescent="0.3">
      <c r="A10" t="s">
        <v>21</v>
      </c>
      <c r="B10" t="s">
        <v>232</v>
      </c>
      <c r="C10">
        <v>1</v>
      </c>
      <c r="D10">
        <v>0.7</v>
      </c>
      <c r="E10">
        <v>0.5</v>
      </c>
    </row>
    <row r="11" spans="1:5" x14ac:dyDescent="0.3">
      <c r="A11" t="s">
        <v>24</v>
      </c>
      <c r="B11" t="s">
        <v>232</v>
      </c>
      <c r="C11">
        <v>1</v>
      </c>
      <c r="D11">
        <v>0.7</v>
      </c>
      <c r="E11">
        <v>0.5</v>
      </c>
    </row>
    <row r="12" spans="1:5" x14ac:dyDescent="0.3">
      <c r="A12" t="s">
        <v>23</v>
      </c>
      <c r="B12" t="s">
        <v>232</v>
      </c>
      <c r="C12">
        <v>1</v>
      </c>
      <c r="D12">
        <v>0.7</v>
      </c>
      <c r="E12">
        <v>0.5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C9FC9-1807-4AE4-A17F-1DE06F1B4808}">
  <dimension ref="A1:B8"/>
  <sheetViews>
    <sheetView workbookViewId="0">
      <selection activeCell="A10" sqref="A10"/>
    </sheetView>
  </sheetViews>
  <sheetFormatPr defaultRowHeight="14.4" x14ac:dyDescent="0.3"/>
  <sheetData>
    <row r="1" spans="1:2" x14ac:dyDescent="0.3">
      <c r="B1" t="s">
        <v>5</v>
      </c>
    </row>
    <row r="2" spans="1:2" x14ac:dyDescent="0.3">
      <c r="A2" t="s">
        <v>25</v>
      </c>
      <c r="B2">
        <v>0.95</v>
      </c>
    </row>
    <row r="3" spans="1:2" x14ac:dyDescent="0.3">
      <c r="A3" t="s">
        <v>26</v>
      </c>
      <c r="B3">
        <v>0.95</v>
      </c>
    </row>
    <row r="4" spans="1:2" x14ac:dyDescent="0.3">
      <c r="A4" t="s">
        <v>20</v>
      </c>
      <c r="B4">
        <v>0.8</v>
      </c>
    </row>
    <row r="5" spans="1:2" x14ac:dyDescent="0.3">
      <c r="A5" t="s">
        <v>22</v>
      </c>
      <c r="B5">
        <v>0.8</v>
      </c>
    </row>
    <row r="6" spans="1:2" x14ac:dyDescent="0.3">
      <c r="A6" t="s">
        <v>24</v>
      </c>
      <c r="B6">
        <v>0.8</v>
      </c>
    </row>
    <row r="7" spans="1:2" x14ac:dyDescent="0.3">
      <c r="A7" t="s">
        <v>21</v>
      </c>
      <c r="B7">
        <v>0.8</v>
      </c>
    </row>
    <row r="8" spans="1:2" x14ac:dyDescent="0.3">
      <c r="A8" t="s">
        <v>23</v>
      </c>
      <c r="B8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D53B1-E0F7-4961-8835-9B6A6F9C7EA4}">
  <dimension ref="A1:G63"/>
  <sheetViews>
    <sheetView topLeftCell="A12" workbookViewId="0">
      <selection activeCell="J30" sqref="J30"/>
    </sheetView>
  </sheetViews>
  <sheetFormatPr defaultRowHeight="14.4" x14ac:dyDescent="0.3"/>
  <cols>
    <col min="1" max="1" width="14.44140625" customWidth="1"/>
  </cols>
  <sheetData>
    <row r="1" spans="1:7" x14ac:dyDescent="0.3">
      <c r="A1" t="s">
        <v>33</v>
      </c>
      <c r="B1" t="s">
        <v>34</v>
      </c>
      <c r="C1" t="s">
        <v>20</v>
      </c>
      <c r="D1" t="s">
        <v>20</v>
      </c>
      <c r="E1" t="s">
        <v>20</v>
      </c>
      <c r="F1" t="s">
        <v>22</v>
      </c>
      <c r="G1" t="s">
        <v>24</v>
      </c>
    </row>
    <row r="2" spans="1:7" x14ac:dyDescent="0.3">
      <c r="C2" t="s">
        <v>32</v>
      </c>
      <c r="D2" t="s">
        <v>32</v>
      </c>
      <c r="E2" t="s">
        <v>32</v>
      </c>
    </row>
    <row r="3" spans="1:7" x14ac:dyDescent="0.3">
      <c r="A3" t="s">
        <v>33</v>
      </c>
      <c r="B3" t="s">
        <v>34</v>
      </c>
      <c r="C3">
        <v>2</v>
      </c>
      <c r="D3">
        <v>3</v>
      </c>
      <c r="E3">
        <v>4</v>
      </c>
    </row>
    <row r="4" spans="1:7" x14ac:dyDescent="0.3">
      <c r="A4" t="s">
        <v>44</v>
      </c>
      <c r="B4">
        <v>2</v>
      </c>
      <c r="C4">
        <v>1.5</v>
      </c>
      <c r="D4">
        <v>1.5</v>
      </c>
      <c r="E4">
        <v>1.5</v>
      </c>
      <c r="F4">
        <v>1.5</v>
      </c>
      <c r="G4">
        <v>1.1499999999999999</v>
      </c>
    </row>
    <row r="5" spans="1:7" x14ac:dyDescent="0.3">
      <c r="A5" t="s">
        <v>44</v>
      </c>
      <c r="B5">
        <v>3</v>
      </c>
      <c r="C5">
        <v>1.5</v>
      </c>
      <c r="D5">
        <v>1.5</v>
      </c>
      <c r="E5">
        <v>1.5</v>
      </c>
      <c r="F5">
        <v>1.5</v>
      </c>
      <c r="G5">
        <v>1.1499999999999999</v>
      </c>
    </row>
    <row r="6" spans="1:7" x14ac:dyDescent="0.3">
      <c r="A6" t="s">
        <v>44</v>
      </c>
      <c r="B6">
        <v>4</v>
      </c>
      <c r="C6">
        <v>1.5</v>
      </c>
      <c r="D6">
        <v>1.5</v>
      </c>
      <c r="E6">
        <v>1.5</v>
      </c>
      <c r="F6">
        <v>1.5</v>
      </c>
      <c r="G6">
        <v>1.1499999999999999</v>
      </c>
    </row>
    <row r="7" spans="1:7" x14ac:dyDescent="0.3">
      <c r="A7" t="s">
        <v>44</v>
      </c>
      <c r="B7">
        <v>5</v>
      </c>
      <c r="C7">
        <v>1.4</v>
      </c>
      <c r="D7">
        <v>1.4</v>
      </c>
      <c r="E7">
        <v>1.4</v>
      </c>
      <c r="F7">
        <v>1.4</v>
      </c>
      <c r="G7">
        <v>1.1000000000000001</v>
      </c>
    </row>
    <row r="8" spans="1:7" x14ac:dyDescent="0.3">
      <c r="A8" t="s">
        <v>44</v>
      </c>
      <c r="B8">
        <v>6</v>
      </c>
      <c r="C8">
        <v>1.3</v>
      </c>
      <c r="D8">
        <v>1.3</v>
      </c>
      <c r="E8">
        <v>1.3</v>
      </c>
      <c r="F8">
        <v>1.3</v>
      </c>
      <c r="G8">
        <v>1.1000000000000001</v>
      </c>
    </row>
    <row r="9" spans="1:7" x14ac:dyDescent="0.3">
      <c r="A9" t="s">
        <v>44</v>
      </c>
      <c r="B9">
        <v>8</v>
      </c>
      <c r="C9">
        <v>1.2</v>
      </c>
      <c r="D9">
        <v>1.2</v>
      </c>
      <c r="E9">
        <v>1.3</v>
      </c>
      <c r="F9">
        <v>1.2</v>
      </c>
      <c r="G9">
        <v>1.05</v>
      </c>
    </row>
    <row r="10" spans="1:7" x14ac:dyDescent="0.3">
      <c r="A10" t="s">
        <v>44</v>
      </c>
      <c r="B10">
        <v>10</v>
      </c>
      <c r="C10">
        <v>1.1000000000000001</v>
      </c>
      <c r="D10">
        <v>1.1000000000000001</v>
      </c>
      <c r="E10">
        <v>1.2</v>
      </c>
      <c r="F10">
        <v>1.1000000000000001</v>
      </c>
      <c r="G10">
        <v>1</v>
      </c>
    </row>
    <row r="11" spans="1:7" x14ac:dyDescent="0.3">
      <c r="A11" t="s">
        <v>44</v>
      </c>
      <c r="B11">
        <v>12</v>
      </c>
      <c r="C11">
        <v>1</v>
      </c>
      <c r="D11">
        <v>1</v>
      </c>
      <c r="E11">
        <v>1.1000000000000001</v>
      </c>
      <c r="F11">
        <v>1</v>
      </c>
      <c r="G11">
        <v>1</v>
      </c>
    </row>
    <row r="12" spans="1:7" x14ac:dyDescent="0.3">
      <c r="A12" t="s">
        <v>44</v>
      </c>
      <c r="B12">
        <v>14</v>
      </c>
      <c r="C12">
        <v>0.9</v>
      </c>
      <c r="D12">
        <v>0.9</v>
      </c>
      <c r="E12">
        <v>1</v>
      </c>
      <c r="F12">
        <v>0.9</v>
      </c>
      <c r="G12">
        <v>0.9</v>
      </c>
    </row>
    <row r="13" spans="1:7" x14ac:dyDescent="0.3">
      <c r="A13" t="s">
        <v>162</v>
      </c>
      <c r="B13">
        <v>2</v>
      </c>
      <c r="C13">
        <v>1.5</v>
      </c>
      <c r="D13">
        <v>1.5</v>
      </c>
      <c r="E13">
        <v>1.5</v>
      </c>
      <c r="F13">
        <v>1.5</v>
      </c>
      <c r="G13">
        <v>1.1499999999999999</v>
      </c>
    </row>
    <row r="14" spans="1:7" x14ac:dyDescent="0.3">
      <c r="A14" t="s">
        <v>162</v>
      </c>
      <c r="B14">
        <v>3</v>
      </c>
      <c r="C14">
        <v>1.5</v>
      </c>
      <c r="D14">
        <v>1.5</v>
      </c>
      <c r="E14">
        <v>1.5</v>
      </c>
      <c r="F14">
        <v>1.5</v>
      </c>
      <c r="G14">
        <v>1.1499999999999999</v>
      </c>
    </row>
    <row r="15" spans="1:7" x14ac:dyDescent="0.3">
      <c r="A15" t="s">
        <v>162</v>
      </c>
      <c r="B15">
        <v>4</v>
      </c>
      <c r="C15">
        <v>1.5</v>
      </c>
      <c r="D15">
        <v>1.5</v>
      </c>
      <c r="E15">
        <v>1.5</v>
      </c>
      <c r="F15">
        <v>1.5</v>
      </c>
      <c r="G15">
        <v>1.1499999999999999</v>
      </c>
    </row>
    <row r="16" spans="1:7" x14ac:dyDescent="0.3">
      <c r="A16" t="s">
        <v>162</v>
      </c>
      <c r="B16">
        <v>5</v>
      </c>
      <c r="C16">
        <v>1.4</v>
      </c>
      <c r="D16">
        <v>1.4</v>
      </c>
      <c r="E16">
        <v>1.4</v>
      </c>
      <c r="F16">
        <v>1.4</v>
      </c>
      <c r="G16">
        <v>1.1000000000000001</v>
      </c>
    </row>
    <row r="17" spans="1:7" x14ac:dyDescent="0.3">
      <c r="A17" t="s">
        <v>162</v>
      </c>
      <c r="B17">
        <v>6</v>
      </c>
      <c r="C17">
        <v>1.3</v>
      </c>
      <c r="D17">
        <v>1.3</v>
      </c>
      <c r="E17">
        <v>1.3</v>
      </c>
      <c r="F17">
        <v>1.3</v>
      </c>
      <c r="G17">
        <v>1.1000000000000001</v>
      </c>
    </row>
    <row r="18" spans="1:7" x14ac:dyDescent="0.3">
      <c r="A18" t="s">
        <v>162</v>
      </c>
      <c r="B18">
        <v>8</v>
      </c>
      <c r="C18">
        <v>1.2</v>
      </c>
      <c r="D18">
        <v>1.2</v>
      </c>
      <c r="E18">
        <v>1.3</v>
      </c>
      <c r="F18">
        <v>1.2</v>
      </c>
      <c r="G18">
        <v>1.05</v>
      </c>
    </row>
    <row r="19" spans="1:7" x14ac:dyDescent="0.3">
      <c r="A19" t="s">
        <v>162</v>
      </c>
      <c r="B19">
        <v>10</v>
      </c>
      <c r="C19">
        <v>1.1000000000000001</v>
      </c>
      <c r="D19">
        <v>1.1000000000000001</v>
      </c>
      <c r="E19">
        <v>1.2</v>
      </c>
      <c r="F19">
        <v>1.1000000000000001</v>
      </c>
      <c r="G19">
        <v>1</v>
      </c>
    </row>
    <row r="20" spans="1:7" x14ac:dyDescent="0.3">
      <c r="A20" t="s">
        <v>162</v>
      </c>
      <c r="B20">
        <v>12</v>
      </c>
      <c r="C20">
        <v>1</v>
      </c>
      <c r="D20">
        <v>1</v>
      </c>
      <c r="E20">
        <v>1.1000000000000001</v>
      </c>
      <c r="F20">
        <v>1</v>
      </c>
      <c r="G20">
        <v>1</v>
      </c>
    </row>
    <row r="21" spans="1:7" x14ac:dyDescent="0.3">
      <c r="A21" t="s">
        <v>162</v>
      </c>
      <c r="B21">
        <v>14</v>
      </c>
      <c r="C21">
        <v>0.9</v>
      </c>
      <c r="D21">
        <v>0.9</v>
      </c>
      <c r="E21">
        <v>1</v>
      </c>
      <c r="F21">
        <v>0.9</v>
      </c>
      <c r="G21">
        <v>0.9</v>
      </c>
    </row>
    <row r="22" spans="1:7" x14ac:dyDescent="0.3">
      <c r="A22" t="s">
        <v>35</v>
      </c>
      <c r="B22">
        <v>2</v>
      </c>
      <c r="C22">
        <v>1.5</v>
      </c>
      <c r="D22">
        <v>1.5</v>
      </c>
      <c r="E22">
        <v>1.5</v>
      </c>
      <c r="F22">
        <v>1.5</v>
      </c>
      <c r="G22">
        <v>1.1499999999999999</v>
      </c>
    </row>
    <row r="23" spans="1:7" x14ac:dyDescent="0.3">
      <c r="A23" t="s">
        <v>35</v>
      </c>
      <c r="B23">
        <v>3</v>
      </c>
      <c r="C23">
        <v>1.5</v>
      </c>
      <c r="D23">
        <v>1.5</v>
      </c>
      <c r="E23">
        <v>1.5</v>
      </c>
      <c r="F23">
        <v>1.5</v>
      </c>
      <c r="G23">
        <v>1.1499999999999999</v>
      </c>
    </row>
    <row r="24" spans="1:7" x14ac:dyDescent="0.3">
      <c r="A24" t="s">
        <v>35</v>
      </c>
      <c r="B24">
        <v>4</v>
      </c>
      <c r="C24">
        <v>1.5</v>
      </c>
      <c r="D24">
        <v>1.5</v>
      </c>
      <c r="E24">
        <v>1.5</v>
      </c>
      <c r="F24">
        <v>1.5</v>
      </c>
      <c r="G24">
        <v>1.1499999999999999</v>
      </c>
    </row>
    <row r="25" spans="1:7" x14ac:dyDescent="0.3">
      <c r="A25" t="s">
        <v>35</v>
      </c>
      <c r="B25">
        <v>5</v>
      </c>
      <c r="C25">
        <v>1.4</v>
      </c>
      <c r="D25">
        <v>1.4</v>
      </c>
      <c r="E25">
        <v>1.4</v>
      </c>
      <c r="F25">
        <v>1.4</v>
      </c>
      <c r="G25">
        <v>1.1000000000000001</v>
      </c>
    </row>
    <row r="26" spans="1:7" x14ac:dyDescent="0.3">
      <c r="A26" t="s">
        <v>35</v>
      </c>
      <c r="B26">
        <v>6</v>
      </c>
      <c r="C26">
        <v>1.3</v>
      </c>
      <c r="D26">
        <v>1.3</v>
      </c>
      <c r="E26">
        <v>1.3</v>
      </c>
      <c r="F26">
        <v>1.3</v>
      </c>
      <c r="G26">
        <v>1.1000000000000001</v>
      </c>
    </row>
    <row r="27" spans="1:7" x14ac:dyDescent="0.3">
      <c r="A27" t="s">
        <v>35</v>
      </c>
      <c r="B27">
        <v>8</v>
      </c>
      <c r="C27">
        <v>1.2</v>
      </c>
      <c r="D27">
        <v>1.2</v>
      </c>
      <c r="E27">
        <v>1.3</v>
      </c>
      <c r="F27">
        <v>1.2</v>
      </c>
      <c r="G27">
        <v>1.05</v>
      </c>
    </row>
    <row r="28" spans="1:7" x14ac:dyDescent="0.3">
      <c r="A28" t="s">
        <v>35</v>
      </c>
      <c r="B28">
        <v>10</v>
      </c>
      <c r="C28">
        <v>1.1000000000000001</v>
      </c>
      <c r="D28">
        <v>1.1000000000000001</v>
      </c>
      <c r="E28">
        <v>1.2</v>
      </c>
      <c r="F28">
        <v>1.1000000000000001</v>
      </c>
      <c r="G28">
        <v>1</v>
      </c>
    </row>
    <row r="29" spans="1:7" x14ac:dyDescent="0.3">
      <c r="A29" t="s">
        <v>35</v>
      </c>
      <c r="B29">
        <v>12</v>
      </c>
      <c r="C29">
        <v>1</v>
      </c>
      <c r="D29">
        <v>1</v>
      </c>
      <c r="E29">
        <v>1.1000000000000001</v>
      </c>
      <c r="F29">
        <v>1</v>
      </c>
      <c r="G29">
        <v>1</v>
      </c>
    </row>
    <row r="30" spans="1:7" x14ac:dyDescent="0.3">
      <c r="A30" t="s">
        <v>35</v>
      </c>
      <c r="B30">
        <v>14</v>
      </c>
      <c r="C30">
        <v>0.9</v>
      </c>
      <c r="D30">
        <v>0.9</v>
      </c>
      <c r="E30">
        <v>1</v>
      </c>
      <c r="F30">
        <v>0.9</v>
      </c>
      <c r="G30">
        <v>0.9</v>
      </c>
    </row>
    <row r="31" spans="1:7" x14ac:dyDescent="0.3">
      <c r="A31" t="s">
        <v>36</v>
      </c>
      <c r="B31">
        <v>2</v>
      </c>
      <c r="C31">
        <v>1.5</v>
      </c>
      <c r="D31">
        <v>1.5</v>
      </c>
      <c r="E31">
        <v>1.5</v>
      </c>
      <c r="F31">
        <v>1.5</v>
      </c>
      <c r="G31">
        <v>1.1499999999999999</v>
      </c>
    </row>
    <row r="32" spans="1:7" x14ac:dyDescent="0.3">
      <c r="A32" t="s">
        <v>36</v>
      </c>
      <c r="B32">
        <v>3</v>
      </c>
      <c r="C32">
        <v>1.5</v>
      </c>
      <c r="D32">
        <v>1.5</v>
      </c>
      <c r="E32">
        <v>1.5</v>
      </c>
      <c r="F32">
        <v>1.5</v>
      </c>
      <c r="G32">
        <v>1.1499999999999999</v>
      </c>
    </row>
    <row r="33" spans="1:7" x14ac:dyDescent="0.3">
      <c r="A33" t="s">
        <v>36</v>
      </c>
      <c r="B33">
        <v>4</v>
      </c>
      <c r="C33">
        <v>1.5</v>
      </c>
      <c r="D33">
        <v>1.5</v>
      </c>
      <c r="E33">
        <v>1.5</v>
      </c>
      <c r="F33">
        <v>1.5</v>
      </c>
      <c r="G33">
        <v>1.1499999999999999</v>
      </c>
    </row>
    <row r="34" spans="1:7" x14ac:dyDescent="0.3">
      <c r="A34" t="s">
        <v>36</v>
      </c>
      <c r="B34">
        <v>5</v>
      </c>
      <c r="C34">
        <v>1.4</v>
      </c>
      <c r="D34">
        <v>1.4</v>
      </c>
      <c r="E34">
        <v>1.4</v>
      </c>
      <c r="F34">
        <v>1.4</v>
      </c>
      <c r="G34">
        <v>1.1000000000000001</v>
      </c>
    </row>
    <row r="35" spans="1:7" x14ac:dyDescent="0.3">
      <c r="A35" t="s">
        <v>36</v>
      </c>
      <c r="B35">
        <v>6</v>
      </c>
      <c r="C35">
        <v>1.3</v>
      </c>
      <c r="D35">
        <v>1.3</v>
      </c>
      <c r="E35">
        <v>1.3</v>
      </c>
      <c r="F35">
        <v>1.3</v>
      </c>
      <c r="G35">
        <v>1.1000000000000001</v>
      </c>
    </row>
    <row r="36" spans="1:7" x14ac:dyDescent="0.3">
      <c r="A36" t="s">
        <v>36</v>
      </c>
      <c r="B36">
        <v>8</v>
      </c>
      <c r="C36">
        <v>1.2</v>
      </c>
      <c r="D36">
        <v>1.2</v>
      </c>
      <c r="E36">
        <v>1.3</v>
      </c>
      <c r="F36">
        <v>1.2</v>
      </c>
      <c r="G36">
        <v>1.05</v>
      </c>
    </row>
    <row r="37" spans="1:7" x14ac:dyDescent="0.3">
      <c r="A37" t="s">
        <v>36</v>
      </c>
      <c r="B37">
        <v>10</v>
      </c>
      <c r="C37">
        <v>1.1000000000000001</v>
      </c>
      <c r="D37">
        <v>1.1000000000000001</v>
      </c>
      <c r="E37">
        <v>1.2</v>
      </c>
      <c r="F37">
        <v>1.1000000000000001</v>
      </c>
      <c r="G37">
        <v>1</v>
      </c>
    </row>
    <row r="38" spans="1:7" x14ac:dyDescent="0.3">
      <c r="A38" t="s">
        <v>36</v>
      </c>
      <c r="B38">
        <v>12</v>
      </c>
      <c r="C38">
        <v>1</v>
      </c>
      <c r="D38">
        <v>1</v>
      </c>
      <c r="E38">
        <v>1.1000000000000001</v>
      </c>
      <c r="F38">
        <v>1</v>
      </c>
      <c r="G38">
        <v>1</v>
      </c>
    </row>
    <row r="39" spans="1:7" x14ac:dyDescent="0.3">
      <c r="A39" t="s">
        <v>36</v>
      </c>
      <c r="B39">
        <v>14</v>
      </c>
      <c r="C39">
        <v>0.9</v>
      </c>
      <c r="D39">
        <v>0.9</v>
      </c>
      <c r="E39">
        <v>1</v>
      </c>
      <c r="F39">
        <v>0.9</v>
      </c>
      <c r="G39">
        <v>0.9</v>
      </c>
    </row>
    <row r="40" spans="1:7" x14ac:dyDescent="0.3">
      <c r="A40" t="s">
        <v>37</v>
      </c>
      <c r="B40">
        <v>2</v>
      </c>
      <c r="C40">
        <v>1.5</v>
      </c>
      <c r="D40">
        <v>1.5</v>
      </c>
      <c r="E40">
        <v>1.5</v>
      </c>
      <c r="F40">
        <v>1.5</v>
      </c>
      <c r="G40">
        <v>1.1499999999999999</v>
      </c>
    </row>
    <row r="41" spans="1:7" x14ac:dyDescent="0.3">
      <c r="A41" t="s">
        <v>37</v>
      </c>
      <c r="B41">
        <v>3</v>
      </c>
      <c r="C41">
        <v>1.5</v>
      </c>
      <c r="D41">
        <v>1.5</v>
      </c>
      <c r="E41">
        <v>1.5</v>
      </c>
      <c r="F41">
        <v>1.5</v>
      </c>
      <c r="G41">
        <v>1.1499999999999999</v>
      </c>
    </row>
    <row r="42" spans="1:7" x14ac:dyDescent="0.3">
      <c r="A42" t="s">
        <v>37</v>
      </c>
      <c r="B42">
        <v>4</v>
      </c>
      <c r="C42">
        <v>1.5</v>
      </c>
      <c r="D42">
        <v>1.5</v>
      </c>
      <c r="E42">
        <v>1.5</v>
      </c>
      <c r="F42">
        <v>1.5</v>
      </c>
      <c r="G42">
        <v>1.1499999999999999</v>
      </c>
    </row>
    <row r="43" spans="1:7" x14ac:dyDescent="0.3">
      <c r="A43" t="s">
        <v>37</v>
      </c>
      <c r="B43">
        <v>5</v>
      </c>
      <c r="C43">
        <v>1.4</v>
      </c>
      <c r="D43">
        <v>1.4</v>
      </c>
      <c r="E43">
        <v>1.4</v>
      </c>
      <c r="F43">
        <v>1.4</v>
      </c>
      <c r="G43">
        <v>1.1000000000000001</v>
      </c>
    </row>
    <row r="44" spans="1:7" x14ac:dyDescent="0.3">
      <c r="A44" t="s">
        <v>37</v>
      </c>
      <c r="B44">
        <v>6</v>
      </c>
      <c r="C44">
        <v>1.3</v>
      </c>
      <c r="D44">
        <v>1.3</v>
      </c>
      <c r="E44">
        <v>1.3</v>
      </c>
      <c r="F44">
        <v>1.3</v>
      </c>
      <c r="G44">
        <v>1.1000000000000001</v>
      </c>
    </row>
    <row r="45" spans="1:7" x14ac:dyDescent="0.3">
      <c r="A45" t="s">
        <v>37</v>
      </c>
      <c r="B45">
        <v>8</v>
      </c>
      <c r="C45">
        <v>1.2</v>
      </c>
      <c r="D45">
        <v>1.2</v>
      </c>
      <c r="E45">
        <v>1.3</v>
      </c>
      <c r="F45">
        <v>1.2</v>
      </c>
      <c r="G45">
        <v>1.05</v>
      </c>
    </row>
    <row r="46" spans="1:7" x14ac:dyDescent="0.3">
      <c r="A46" t="s">
        <v>37</v>
      </c>
      <c r="B46">
        <v>10</v>
      </c>
      <c r="C46">
        <v>1.1000000000000001</v>
      </c>
      <c r="D46">
        <v>1.1000000000000001</v>
      </c>
      <c r="E46">
        <v>1.2</v>
      </c>
      <c r="F46">
        <v>1.1000000000000001</v>
      </c>
      <c r="G46">
        <v>1</v>
      </c>
    </row>
    <row r="47" spans="1:7" x14ac:dyDescent="0.3">
      <c r="A47" t="s">
        <v>37</v>
      </c>
      <c r="B47">
        <v>12</v>
      </c>
      <c r="C47">
        <v>1</v>
      </c>
      <c r="D47">
        <v>1</v>
      </c>
      <c r="E47">
        <v>1.1000000000000001</v>
      </c>
      <c r="F47">
        <v>1</v>
      </c>
      <c r="G47">
        <v>1</v>
      </c>
    </row>
    <row r="48" spans="1:7" x14ac:dyDescent="0.3">
      <c r="A48" t="s">
        <v>37</v>
      </c>
      <c r="B48">
        <v>14</v>
      </c>
      <c r="C48">
        <v>0.9</v>
      </c>
      <c r="D48">
        <v>0.9</v>
      </c>
      <c r="E48">
        <v>1</v>
      </c>
      <c r="F48">
        <v>0.9</v>
      </c>
      <c r="G48">
        <v>0.9</v>
      </c>
    </row>
    <row r="49" spans="1:7" x14ac:dyDescent="0.3">
      <c r="A49" t="s">
        <v>38</v>
      </c>
      <c r="B49">
        <v>2</v>
      </c>
      <c r="C49">
        <v>1.1000000000000001</v>
      </c>
      <c r="D49">
        <v>1.1000000000000001</v>
      </c>
      <c r="E49">
        <v>1.1000000000000001</v>
      </c>
      <c r="F49">
        <v>1.1000000000000001</v>
      </c>
      <c r="G49">
        <v>1.05</v>
      </c>
    </row>
    <row r="50" spans="1:7" x14ac:dyDescent="0.3">
      <c r="A50" t="s">
        <v>38</v>
      </c>
      <c r="B50">
        <v>3</v>
      </c>
      <c r="C50">
        <v>1.1000000000000001</v>
      </c>
      <c r="D50">
        <v>1.1000000000000001</v>
      </c>
      <c r="E50">
        <v>1.1000000000000001</v>
      </c>
      <c r="F50">
        <v>1.1000000000000001</v>
      </c>
      <c r="G50">
        <v>1.05</v>
      </c>
    </row>
    <row r="51" spans="1:7" x14ac:dyDescent="0.3">
      <c r="A51" t="s">
        <v>38</v>
      </c>
      <c r="B51">
        <v>4</v>
      </c>
      <c r="C51">
        <v>1.1000000000000001</v>
      </c>
      <c r="D51">
        <v>1.1000000000000001</v>
      </c>
      <c r="E51">
        <v>1.1000000000000001</v>
      </c>
      <c r="F51">
        <v>1.1000000000000001</v>
      </c>
      <c r="G51">
        <v>1.05</v>
      </c>
    </row>
    <row r="52" spans="1:7" x14ac:dyDescent="0.3">
      <c r="A52" t="s">
        <v>38</v>
      </c>
      <c r="B52">
        <v>5</v>
      </c>
      <c r="C52">
        <v>1</v>
      </c>
      <c r="D52">
        <v>1</v>
      </c>
      <c r="E52">
        <v>1</v>
      </c>
      <c r="F52">
        <v>1</v>
      </c>
      <c r="G52">
        <v>1</v>
      </c>
    </row>
    <row r="53" spans="1:7" x14ac:dyDescent="0.3">
      <c r="A53" t="s">
        <v>38</v>
      </c>
      <c r="B53">
        <v>6</v>
      </c>
      <c r="C53">
        <v>1</v>
      </c>
      <c r="D53">
        <v>1</v>
      </c>
      <c r="E53">
        <v>1</v>
      </c>
      <c r="F53">
        <v>1</v>
      </c>
      <c r="G53">
        <v>1</v>
      </c>
    </row>
    <row r="54" spans="1:7" x14ac:dyDescent="0.3">
      <c r="A54" t="s">
        <v>38</v>
      </c>
      <c r="B54">
        <v>8</v>
      </c>
      <c r="C54" t="s">
        <v>41</v>
      </c>
      <c r="D54" t="s">
        <v>41</v>
      </c>
      <c r="E54" t="s">
        <v>41</v>
      </c>
      <c r="F54" t="s">
        <v>41</v>
      </c>
      <c r="G54" t="s">
        <v>41</v>
      </c>
    </row>
    <row r="55" spans="1:7" x14ac:dyDescent="0.3">
      <c r="A55" t="s">
        <v>39</v>
      </c>
      <c r="B55">
        <v>2</v>
      </c>
      <c r="C55">
        <v>1</v>
      </c>
      <c r="D55">
        <v>1</v>
      </c>
      <c r="E55">
        <v>1</v>
      </c>
      <c r="F55">
        <v>1</v>
      </c>
      <c r="G55">
        <v>1</v>
      </c>
    </row>
    <row r="56" spans="1:7" x14ac:dyDescent="0.3">
      <c r="A56" t="s">
        <v>39</v>
      </c>
      <c r="B56">
        <v>3</v>
      </c>
      <c r="C56">
        <v>1</v>
      </c>
      <c r="D56">
        <v>1</v>
      </c>
      <c r="E56">
        <v>1</v>
      </c>
      <c r="F56">
        <v>1</v>
      </c>
      <c r="G56">
        <v>1</v>
      </c>
    </row>
    <row r="57" spans="1:7" x14ac:dyDescent="0.3">
      <c r="A57" t="s">
        <v>39</v>
      </c>
      <c r="B57">
        <v>4</v>
      </c>
      <c r="C57">
        <v>1</v>
      </c>
      <c r="D57">
        <v>1</v>
      </c>
      <c r="E57">
        <v>1</v>
      </c>
      <c r="F57">
        <v>1</v>
      </c>
      <c r="G57">
        <v>1</v>
      </c>
    </row>
    <row r="58" spans="1:7" x14ac:dyDescent="0.3">
      <c r="A58" t="s">
        <v>152</v>
      </c>
      <c r="B58">
        <v>2</v>
      </c>
      <c r="C58">
        <v>1</v>
      </c>
      <c r="D58">
        <v>1</v>
      </c>
      <c r="E58">
        <v>1</v>
      </c>
      <c r="F58">
        <v>1</v>
      </c>
      <c r="G58">
        <v>1</v>
      </c>
    </row>
    <row r="59" spans="1:7" x14ac:dyDescent="0.3">
      <c r="A59" t="s">
        <v>152</v>
      </c>
      <c r="B59">
        <v>3</v>
      </c>
      <c r="C59">
        <v>1</v>
      </c>
      <c r="D59">
        <v>1</v>
      </c>
      <c r="E59">
        <v>1</v>
      </c>
      <c r="F59">
        <v>1</v>
      </c>
      <c r="G59">
        <v>1</v>
      </c>
    </row>
    <row r="60" spans="1:7" x14ac:dyDescent="0.3">
      <c r="A60" t="s">
        <v>152</v>
      </c>
      <c r="B60">
        <v>4</v>
      </c>
      <c r="C60">
        <v>1</v>
      </c>
      <c r="D60">
        <v>1</v>
      </c>
      <c r="E60">
        <v>1</v>
      </c>
      <c r="F60">
        <v>1</v>
      </c>
      <c r="G60">
        <v>1</v>
      </c>
    </row>
    <row r="61" spans="1:7" x14ac:dyDescent="0.3">
      <c r="A61" t="s">
        <v>40</v>
      </c>
      <c r="B61">
        <v>2</v>
      </c>
      <c r="C61">
        <v>0.4</v>
      </c>
      <c r="D61">
        <v>0.4</v>
      </c>
      <c r="E61" t="s">
        <v>31</v>
      </c>
      <c r="F61">
        <v>0.4</v>
      </c>
      <c r="G61">
        <v>0.6</v>
      </c>
    </row>
    <row r="62" spans="1:7" x14ac:dyDescent="0.3">
      <c r="A62" t="s">
        <v>40</v>
      </c>
      <c r="B62">
        <v>3</v>
      </c>
      <c r="C62">
        <v>0.4</v>
      </c>
      <c r="D62">
        <v>0.4</v>
      </c>
      <c r="E62" t="s">
        <v>31</v>
      </c>
      <c r="F62">
        <v>0.4</v>
      </c>
      <c r="G62">
        <v>0.6</v>
      </c>
    </row>
    <row r="63" spans="1:7" x14ac:dyDescent="0.3">
      <c r="A63" t="s">
        <v>40</v>
      </c>
      <c r="B63">
        <v>4</v>
      </c>
      <c r="C63">
        <v>1</v>
      </c>
      <c r="D63">
        <v>1</v>
      </c>
      <c r="E63">
        <v>1</v>
      </c>
      <c r="F63">
        <v>1</v>
      </c>
      <c r="G63">
        <v>1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17B08-33EB-4B82-8F2C-D4773D7BEA23}">
  <dimension ref="A1:D9"/>
  <sheetViews>
    <sheetView workbookViewId="0">
      <selection activeCell="A9" sqref="A9"/>
    </sheetView>
  </sheetViews>
  <sheetFormatPr defaultRowHeight="14.4" x14ac:dyDescent="0.3"/>
  <sheetData>
    <row r="1" spans="1:4" x14ac:dyDescent="0.3">
      <c r="A1" t="s">
        <v>34</v>
      </c>
      <c r="B1" t="s">
        <v>32</v>
      </c>
      <c r="C1" t="s">
        <v>32</v>
      </c>
      <c r="D1" t="s">
        <v>32</v>
      </c>
    </row>
    <row r="2" spans="1:4" x14ac:dyDescent="0.3">
      <c r="A2" t="s">
        <v>34</v>
      </c>
      <c r="B2">
        <v>2</v>
      </c>
      <c r="C2">
        <v>3</v>
      </c>
      <c r="D2">
        <v>4</v>
      </c>
    </row>
    <row r="3" spans="1:4" x14ac:dyDescent="0.3">
      <c r="A3">
        <v>2</v>
      </c>
      <c r="B3">
        <v>1</v>
      </c>
      <c r="C3">
        <v>1</v>
      </c>
      <c r="D3" t="s">
        <v>31</v>
      </c>
    </row>
    <row r="4" spans="1:4" x14ac:dyDescent="0.3">
      <c r="A4">
        <v>3</v>
      </c>
      <c r="B4">
        <v>1</v>
      </c>
      <c r="C4">
        <v>1</v>
      </c>
      <c r="D4" t="s">
        <v>31</v>
      </c>
    </row>
    <row r="5" spans="1:4" x14ac:dyDescent="0.3">
      <c r="A5">
        <v>4</v>
      </c>
      <c r="B5">
        <v>1.1000000000000001</v>
      </c>
      <c r="C5">
        <v>1.1000000000000001</v>
      </c>
      <c r="D5">
        <v>1</v>
      </c>
    </row>
    <row r="6" spans="1:4" x14ac:dyDescent="0.3">
      <c r="A6">
        <v>5</v>
      </c>
      <c r="B6">
        <v>1.1000000000000001</v>
      </c>
      <c r="C6">
        <v>1.1000000000000001</v>
      </c>
      <c r="D6">
        <v>1.05</v>
      </c>
    </row>
    <row r="7" spans="1:4" x14ac:dyDescent="0.3">
      <c r="A7">
        <v>6</v>
      </c>
      <c r="B7">
        <v>1.1499999999999999</v>
      </c>
      <c r="C7">
        <v>1.1499999999999999</v>
      </c>
      <c r="D7">
        <v>1.05</v>
      </c>
    </row>
    <row r="8" spans="1:4" x14ac:dyDescent="0.3">
      <c r="A8">
        <v>8</v>
      </c>
      <c r="B8">
        <v>1.1499999999999999</v>
      </c>
      <c r="C8">
        <v>1.1499999999999999</v>
      </c>
      <c r="D8">
        <v>1.05</v>
      </c>
    </row>
    <row r="9" spans="1:4" x14ac:dyDescent="0.3">
      <c r="A9" t="s">
        <v>234</v>
      </c>
      <c r="B9">
        <v>1.2</v>
      </c>
      <c r="C9">
        <v>1.2</v>
      </c>
      <c r="D9">
        <v>1.1000000000000001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D3A55-6685-4518-AE8B-513B3EEEABE5}">
  <dimension ref="A1:E4"/>
  <sheetViews>
    <sheetView workbookViewId="0">
      <selection activeCell="D7" sqref="D7"/>
    </sheetView>
  </sheetViews>
  <sheetFormatPr defaultRowHeight="14.4" x14ac:dyDescent="0.3"/>
  <cols>
    <col min="1" max="1" width="16.109375" customWidth="1"/>
  </cols>
  <sheetData>
    <row r="1" spans="1:5" x14ac:dyDescent="0.3">
      <c r="A1" t="s">
        <v>33</v>
      </c>
      <c r="B1" t="s">
        <v>20</v>
      </c>
      <c r="C1" t="s">
        <v>25</v>
      </c>
      <c r="D1" t="s">
        <v>26</v>
      </c>
      <c r="E1" t="s">
        <v>43</v>
      </c>
    </row>
    <row r="2" spans="1:5" x14ac:dyDescent="0.3">
      <c r="A2" t="s">
        <v>44</v>
      </c>
      <c r="B2">
        <v>0.86</v>
      </c>
      <c r="C2">
        <v>1</v>
      </c>
      <c r="D2">
        <v>1</v>
      </c>
      <c r="E2">
        <v>1</v>
      </c>
    </row>
    <row r="3" spans="1:5" x14ac:dyDescent="0.3">
      <c r="A3" t="s">
        <v>35</v>
      </c>
      <c r="B3">
        <v>0.74</v>
      </c>
      <c r="C3">
        <v>0.9</v>
      </c>
      <c r="D3">
        <v>0.9</v>
      </c>
      <c r="E3">
        <v>1</v>
      </c>
    </row>
    <row r="4" spans="1:5" x14ac:dyDescent="0.3">
      <c r="A4" t="s">
        <v>36</v>
      </c>
      <c r="B4">
        <v>1</v>
      </c>
      <c r="C4">
        <v>1</v>
      </c>
      <c r="D4">
        <v>1</v>
      </c>
      <c r="E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Size Properties </vt:lpstr>
      <vt:lpstr>Small Ref Values</vt:lpstr>
      <vt:lpstr>Small Ref Values Speices</vt:lpstr>
      <vt:lpstr>Big Ref Values</vt:lpstr>
      <vt:lpstr>Big Ref Values Speices</vt:lpstr>
      <vt:lpstr>Timber ADJ</vt:lpstr>
      <vt:lpstr>CD</vt:lpstr>
      <vt:lpstr>CM</vt:lpstr>
      <vt:lpstr>Ct</vt:lpstr>
      <vt:lpstr>Ci</vt:lpstr>
      <vt:lpstr>CF</vt:lpstr>
      <vt:lpstr>CFu Small</vt:lpstr>
      <vt:lpstr>CFu Big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Rocha</dc:creator>
  <cp:lastModifiedBy>Michael Rocha</cp:lastModifiedBy>
  <dcterms:created xsi:type="dcterms:W3CDTF">2025-08-28T17:28:36Z</dcterms:created>
  <dcterms:modified xsi:type="dcterms:W3CDTF">2025-11-20T00:56:16Z</dcterms:modified>
</cp:coreProperties>
</file>